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 sheetId="1" r:id="rId5"/>
    <sheet state="visible" name="split datas" sheetId="2" r:id="rId6"/>
    <sheet state="visible" name="StaffData" sheetId="3" r:id="rId7"/>
    <sheet state="visible" name="EDA" sheetId="4" r:id="rId8"/>
    <sheet state="visible" name="Charts" sheetId="5" r:id="rId9"/>
    <sheet state="visible" name="INDvsNZ" sheetId="6" r:id="rId10"/>
  </sheets>
  <definedNames>
    <definedName hidden="1" localSheetId="2" name="Z_AD6E7301_5874_44B5_B9C6_145E8B43742B_.wvu.FilterData">StaffData!$A$1:$I$213</definedName>
    <definedName name="SlicerCache_Table_1_Col_8">#N/A</definedName>
  </definedNames>
  <calcPr/>
  <customWorkbookViews>
    <customWorkbookView activeSheetId="0" maximized="1" windowHeight="0" windowWidth="0" guid="{AD6E7301-5874-44B5-B9C6-145E8B43742B}" name="Filter 1"/>
  </customWorkbookViews>
  <pivotCaches>
    <pivotCache cacheId="0" r:id="rId11"/>
    <pivotCache cacheId="1" r:id="rId12"/>
    <pivotCache cacheId="2" r:id="rId13"/>
  </pivotCaches>
  <extLst>
    <ext uri="{46BE6895-7355-4a93-B00E-2C351335B9C9}">
      <x15:slicerCaches>
        <x14:slicerCache r:id="rId14"/>
      </x15:slicerCaches>
    </ext>
  </extLst>
</workbook>
</file>

<file path=xl/sharedStrings.xml><?xml version="1.0" encoding="utf-8"?>
<sst xmlns="http://schemas.openxmlformats.org/spreadsheetml/2006/main" count="2103" uniqueCount="258">
  <si>
    <t>1) How to approach a data analysis project</t>
  </si>
  <si>
    <t>2) How to systematically clean data</t>
  </si>
  <si>
    <t>3) Doing EDA with Excel formulas &amp; tables</t>
  </si>
  <si>
    <t>4) How to use Power Query to combine two datasets</t>
  </si>
  <si>
    <t>5) Statistical Analysis of data</t>
  </si>
  <si>
    <t>6) Using formulas like COUNTIFS, SUMIFS, XLOOKUP</t>
  </si>
  <si>
    <t>7) Making an information finder with your data</t>
  </si>
  <si>
    <t>8) Male vs. Female Analysis with Pivot tables</t>
  </si>
  <si>
    <t>9) Calculating Bonus based on business rules</t>
  </si>
  <si>
    <t>10) Visual analytics of data with 4 topics</t>
  </si>
  <si>
    <t>11) Analysing the salary spread (Histograms &amp; Box plots)</t>
  </si>
  <si>
    <t>12) Relationship between Salary &amp; Rating</t>
  </si>
  <si>
    <t>13) Staff growth over time - trend analysis</t>
  </si>
  <si>
    <t>14) Regional Scorecard to compare NZ with India</t>
  </si>
  <si>
    <t>Name</t>
  </si>
  <si>
    <t>Gender</t>
  </si>
  <si>
    <t>Department</t>
  </si>
  <si>
    <t>Age</t>
  </si>
  <si>
    <t>Date Joined</t>
  </si>
  <si>
    <t>Salary</t>
  </si>
  <si>
    <t>Rating</t>
  </si>
  <si>
    <t>Country</t>
  </si>
  <si>
    <t>Column 1</t>
  </si>
  <si>
    <t>Lindy Guillet</t>
  </si>
  <si>
    <t>Male</t>
  </si>
  <si>
    <t>Sales</t>
  </si>
  <si>
    <t>Above average</t>
  </si>
  <si>
    <t>NZ</t>
  </si>
  <si>
    <t>Deepali Charan</t>
  </si>
  <si>
    <t>Average</t>
  </si>
  <si>
    <t>Website</t>
  </si>
  <si>
    <t>IND</t>
  </si>
  <si>
    <t>Ambros Murthwaite</t>
  </si>
  <si>
    <t>Procurement</t>
  </si>
  <si>
    <t>Yagna Sujeev</t>
  </si>
  <si>
    <t>Female</t>
  </si>
  <si>
    <t>Tatum Hush</t>
  </si>
  <si>
    <t>Satyendra Venkatadri</t>
  </si>
  <si>
    <t>Benny Karolovsky</t>
  </si>
  <si>
    <t>Finance</t>
  </si>
  <si>
    <t>Poor</t>
  </si>
  <si>
    <t>Madhavdas Buhpathi</t>
  </si>
  <si>
    <t>HR</t>
  </si>
  <si>
    <t>Hoyt D'Alesco</t>
  </si>
  <si>
    <t>Sahila Chandrasekhar</t>
  </si>
  <si>
    <t>Halimeda Kuscha</t>
  </si>
  <si>
    <t>Mirium Seemantini Shivakumar</t>
  </si>
  <si>
    <t>Erin Androsik</t>
  </si>
  <si>
    <t>Purnendu Vijayarangan</t>
  </si>
  <si>
    <t>Vic Radolf</t>
  </si>
  <si>
    <t>Rukma Vinita</t>
  </si>
  <si>
    <t>William Reeveley</t>
  </si>
  <si>
    <t>Yauvani Tarpa</t>
  </si>
  <si>
    <t>Ewart Laphorn</t>
  </si>
  <si>
    <t>Damayanti Thangavadivelu</t>
  </si>
  <si>
    <t>Bev Lashley</t>
  </si>
  <si>
    <t>Manjusri Ruchi</t>
  </si>
  <si>
    <t>Kath Bletsoe</t>
  </si>
  <si>
    <t>Mithil Nadkarni</t>
  </si>
  <si>
    <t>Murry Dryburgh</t>
  </si>
  <si>
    <t>Ardhendu Abhichandra Jayakar</t>
  </si>
  <si>
    <t>Kaine Padly</t>
  </si>
  <si>
    <t>Akbar Sorabhjee</t>
  </si>
  <si>
    <t>Kassi Jonson</t>
  </si>
  <si>
    <t>Bandhula Sathyanna</t>
  </si>
  <si>
    <t>Simon Kembery</t>
  </si>
  <si>
    <t>Daruka Ghazali</t>
  </si>
  <si>
    <t>Orton Livick</t>
  </si>
  <si>
    <t>Heer Pennathur</t>
  </si>
  <si>
    <t>Kelci Walkden</t>
  </si>
  <si>
    <t>Shekhar Eswara</t>
  </si>
  <si>
    <t>Dotty Strutley</t>
  </si>
  <si>
    <t>Udyan Lanka</t>
  </si>
  <si>
    <t>Shari McNee</t>
  </si>
  <si>
    <t>Shreela Ramasubraman</t>
  </si>
  <si>
    <t>Oby Sorrel</t>
  </si>
  <si>
    <t>Sanchali Shirish</t>
  </si>
  <si>
    <t>Husein Augar</t>
  </si>
  <si>
    <t>Gangadutt Ragha</t>
  </si>
  <si>
    <t>Brien Boise</t>
  </si>
  <si>
    <t>Waheeda Vasuman</t>
  </si>
  <si>
    <t>Esmaria Denecamp</t>
  </si>
  <si>
    <t>Nanak Sapna</t>
  </si>
  <si>
    <t>Exceptional</t>
  </si>
  <si>
    <t>Curtice Advani</t>
  </si>
  <si>
    <t>Shobhana Samuel</t>
  </si>
  <si>
    <t>Barr Faughny</t>
  </si>
  <si>
    <t>Amlankusum Rajabhushan</t>
  </si>
  <si>
    <t>Merrilee Plenty</t>
  </si>
  <si>
    <t>Pratigya Rema</t>
  </si>
  <si>
    <t>Niall Selesnick</t>
  </si>
  <si>
    <t>Ramnath Ravuri</t>
  </si>
  <si>
    <t>Beverie Moffet</t>
  </si>
  <si>
    <t>Prerana Nishita</t>
  </si>
  <si>
    <t>Jehu Rudeforth</t>
  </si>
  <si>
    <t>Makshi Vinutha</t>
  </si>
  <si>
    <t>Camilla Castle</t>
  </si>
  <si>
    <t>Very poor</t>
  </si>
  <si>
    <t>Shiuli Sapna</t>
  </si>
  <si>
    <t>Roddy Speechley</t>
  </si>
  <si>
    <t>Agrata Rajarama</t>
  </si>
  <si>
    <t>Gray Seamon</t>
  </si>
  <si>
    <t>Vasu Nandin</t>
  </si>
  <si>
    <t>Madelene Upcott</t>
  </si>
  <si>
    <t>Bhuvan Pals</t>
  </si>
  <si>
    <t>Violante Courtonne</t>
  </si>
  <si>
    <t>Gumwant Veera</t>
  </si>
  <si>
    <t>Bernie Gorges</t>
  </si>
  <si>
    <t>Narois Motiwala</t>
  </si>
  <si>
    <t>Torrance Collier</t>
  </si>
  <si>
    <t>Anjushri Chandiramani</t>
  </si>
  <si>
    <t>Dyna Doucette</t>
  </si>
  <si>
    <t>Krishnakanta Vellanki</t>
  </si>
  <si>
    <t>Gunar Cockshoot</t>
  </si>
  <si>
    <t>Dhruv Manjunath</t>
  </si>
  <si>
    <t>Kaye Crocroft</t>
  </si>
  <si>
    <t>Vanmala Shriharsha</t>
  </si>
  <si>
    <t>Allene Gobbet</t>
  </si>
  <si>
    <t>Sameer Shashank Sapra</t>
  </si>
  <si>
    <t>Sibyl Dunkirk</t>
  </si>
  <si>
    <t>Anumati Shyamari Meherhomji</t>
  </si>
  <si>
    <t>Agnes Collicott</t>
  </si>
  <si>
    <t>Tarala Vishaal</t>
  </si>
  <si>
    <t>Leilah Yesinin</t>
  </si>
  <si>
    <t>Shubhra Potla</t>
  </si>
  <si>
    <t>Mollie Hanway</t>
  </si>
  <si>
    <t>Hemavati Muthiah</t>
  </si>
  <si>
    <t>Kellsie Waby</t>
  </si>
  <si>
    <t>Krittika Gaekwad</t>
  </si>
  <si>
    <t>Hyacinthie Braybrooke</t>
  </si>
  <si>
    <t>Shevantilal Muppala</t>
  </si>
  <si>
    <t>Van Tuxwell</t>
  </si>
  <si>
    <t>Shattesh Utpat</t>
  </si>
  <si>
    <t>Lilyan Klimpt</t>
  </si>
  <si>
    <t>Kamalakshi Mukundan</t>
  </si>
  <si>
    <t>Tawnya Tickel</t>
  </si>
  <si>
    <t>Chandana Sannidhi Surnilla</t>
  </si>
  <si>
    <t>Jan Morforth</t>
  </si>
  <si>
    <t>Indu Varada Sumedh</t>
  </si>
  <si>
    <t>Florinda Crace</t>
  </si>
  <si>
    <t>Karuna Pashupathy</t>
  </si>
  <si>
    <t>Mardav Ramaswami</t>
  </si>
  <si>
    <t>Tracy Renad</t>
  </si>
  <si>
    <t>Sarayu Ragunathan</t>
  </si>
  <si>
    <t>Myer McCory</t>
  </si>
  <si>
    <t>Kevalkumar Solanki</t>
  </si>
  <si>
    <t>Bennie Pepis</t>
  </si>
  <si>
    <t>Upendra Swati</t>
  </si>
  <si>
    <t>Rafaelita Blaksland</t>
  </si>
  <si>
    <t>Deepit Ranjana</t>
  </si>
  <si>
    <t>Mahalia Larcher</t>
  </si>
  <si>
    <t>Amal Nimesh</t>
  </si>
  <si>
    <t>Andria Kimpton</t>
  </si>
  <si>
    <t>Kunja Prashanta Vibha</t>
  </si>
  <si>
    <t>Valentia Etteridge</t>
  </si>
  <si>
    <t>Godavari Veena</t>
  </si>
  <si>
    <t>Virginia McConville</t>
  </si>
  <si>
    <t>Devasree Fullara Saurin</t>
  </si>
  <si>
    <t>Wilone O'Kielt</t>
  </si>
  <si>
    <t>Geena Raghavanpillai</t>
  </si>
  <si>
    <t>Madge McCloughen</t>
  </si>
  <si>
    <t>Rupak Mehra</t>
  </si>
  <si>
    <t>Janene Hairsine</t>
  </si>
  <si>
    <t>Sawini Chandan</t>
  </si>
  <si>
    <t>Alta Kaszper</t>
  </si>
  <si>
    <t>Baruna Ogale</t>
  </si>
  <si>
    <t>Dennison Crosswaite</t>
  </si>
  <si>
    <t>Jagajeet Viraj</t>
  </si>
  <si>
    <t>Oran Buxcy</t>
  </si>
  <si>
    <t>Kulbhushan Moorthy</t>
  </si>
  <si>
    <t>Hinda Label</t>
  </si>
  <si>
    <t>Ilesh Dasgupta</t>
  </si>
  <si>
    <t>Marney O'Breen</t>
  </si>
  <si>
    <t>Madhumati Gazala Soumitra</t>
  </si>
  <si>
    <t>Dell Molloy</t>
  </si>
  <si>
    <t>Chitrasen Laul</t>
  </si>
  <si>
    <t>Mallorie Waber</t>
  </si>
  <si>
    <t>Jaishree Atasi Yavatkar</t>
  </si>
  <si>
    <t>Cherlyn Barter</t>
  </si>
  <si>
    <t>Kantimoy Pritish</t>
  </si>
  <si>
    <t>Ches Bonnell</t>
  </si>
  <si>
    <t>Rameshwari Chikodi</t>
  </si>
  <si>
    <t>Collin Jagson</t>
  </si>
  <si>
    <t>Lalit Kothari</t>
  </si>
  <si>
    <t>Hogan Iles</t>
  </si>
  <si>
    <t>Sahas Sanabhi Shrikant</t>
  </si>
  <si>
    <t>Gretchen Callow</t>
  </si>
  <si>
    <t>Kaishori Harathi Kateel</t>
  </si>
  <si>
    <t>Kissiah Maydway</t>
  </si>
  <si>
    <t>Rushil Kripa</t>
  </si>
  <si>
    <t>Archibald Filliskirk</t>
  </si>
  <si>
    <t>Sarojini Naueshwara</t>
  </si>
  <si>
    <t>Enoch Dowrey</t>
  </si>
  <si>
    <t>Sartaj Probal</t>
  </si>
  <si>
    <t>Bili Sizey</t>
  </si>
  <si>
    <t>Mahindra Sreedharan</t>
  </si>
  <si>
    <t>Caro Chappel</t>
  </si>
  <si>
    <t>Suchira Bhanupriya Tapti</t>
  </si>
  <si>
    <t>Constantino Espley</t>
  </si>
  <si>
    <t>Fullara Sushanti Mokate</t>
  </si>
  <si>
    <t>Karlen McCaffrey</t>
  </si>
  <si>
    <t>Hridaynath Tendulkar</t>
  </si>
  <si>
    <t>Drusy MacCombe</t>
  </si>
  <si>
    <t>Abhaya Priyavardhan</t>
  </si>
  <si>
    <t>My Hanscome</t>
  </si>
  <si>
    <t>Ayog Chakrabarti</t>
  </si>
  <si>
    <t>Teressa Udden</t>
  </si>
  <si>
    <t>Pragya Nilufar</t>
  </si>
  <si>
    <t>Crissie Cordel</t>
  </si>
  <si>
    <t>Shulabh Qutub Sundaramoorthy</t>
  </si>
  <si>
    <t>Elia Cockton</t>
  </si>
  <si>
    <t>Vinanti Choudhari</t>
  </si>
  <si>
    <t>Gigi Bohling</t>
  </si>
  <si>
    <t>Ranajay Kailashnath Richa</t>
  </si>
  <si>
    <t>Ebonee Roxburgh</t>
  </si>
  <si>
    <t>Asija Pothireddy</t>
  </si>
  <si>
    <t>Shayne Stegel</t>
  </si>
  <si>
    <t>Piyali Mahanthapa</t>
  </si>
  <si>
    <t>Zach Polon</t>
  </si>
  <si>
    <t>Sukhdev Nageshwar</t>
  </si>
  <si>
    <t>Tenure</t>
  </si>
  <si>
    <t>Bonus</t>
  </si>
  <si>
    <t>Rating in number</t>
  </si>
  <si>
    <t>Year</t>
  </si>
  <si>
    <t>Other</t>
  </si>
  <si>
    <t>EDA</t>
  </si>
  <si>
    <t>Details By Name</t>
  </si>
  <si>
    <t>Details by Department</t>
  </si>
  <si>
    <t>Details</t>
  </si>
  <si>
    <t>Count of employees</t>
  </si>
  <si>
    <t>Count of female</t>
  </si>
  <si>
    <t>Count of male</t>
  </si>
  <si>
    <t>Values</t>
  </si>
  <si>
    <t>Female ratio</t>
  </si>
  <si>
    <t xml:space="preserve">Count of employees who is working in that department </t>
  </si>
  <si>
    <t>COUNTA of Name</t>
  </si>
  <si>
    <t>Average salary</t>
  </si>
  <si>
    <t>AVERAGE of Age</t>
  </si>
  <si>
    <t>Mid salary</t>
  </si>
  <si>
    <t>AVERAGE of Salary</t>
  </si>
  <si>
    <t>Max salary</t>
  </si>
  <si>
    <t>AVERAGE of Tenure</t>
  </si>
  <si>
    <t>Min salary</t>
  </si>
  <si>
    <t>Average age</t>
  </si>
  <si>
    <t>Median of staff age</t>
  </si>
  <si>
    <t>Max staff age</t>
  </si>
  <si>
    <t>Min staff age</t>
  </si>
  <si>
    <t>Average tenure</t>
  </si>
  <si>
    <t>2020 Total</t>
  </si>
  <si>
    <t>2021 Total</t>
  </si>
  <si>
    <t>2022 Total</t>
  </si>
  <si>
    <t>2023 Total</t>
  </si>
  <si>
    <t>Grand Total</t>
  </si>
  <si>
    <t>India</t>
  </si>
  <si>
    <t>New zeland</t>
  </si>
  <si>
    <t>Count of staff</t>
  </si>
  <si>
    <t>Female Ratio</t>
  </si>
  <si>
    <t>Headcount by Department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</si>
</sst>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d-mmmm-yy"/>
    <numFmt numFmtId="166" formatCode="d-mmm-yy"/>
    <numFmt numFmtId="167" formatCode="&quot;$&quot;#,##0.00"/>
    <numFmt numFmtId="168" formatCode="&quot;$&quot;#,##0"/>
  </numFmts>
  <fonts count="11">
    <font>
      <sz val="10.0"/>
      <color rgb="FF000000"/>
      <name val="Arial"/>
      <scheme val="minor"/>
    </font>
    <font>
      <sz val="11.0"/>
      <color rgb="FF131313"/>
      <name val="Roboto"/>
    </font>
    <font>
      <b/>
      <sz val="11.0"/>
      <color rgb="FF131313"/>
      <name val="Roboto"/>
    </font>
    <font>
      <color theme="1"/>
      <name val="Arial"/>
      <scheme val="minor"/>
    </font>
    <font>
      <sz val="11.0"/>
      <color theme="1"/>
      <name val="Calibri"/>
    </font>
    <font>
      <sz val="11.0"/>
      <color rgb="FF000000"/>
      <name val="Calibri"/>
    </font>
    <font/>
    <font>
      <b/>
      <sz val="16.0"/>
      <color theme="1"/>
      <name val="Arial"/>
      <scheme val="minor"/>
    </font>
    <font>
      <b/>
      <sz val="11.0"/>
      <color theme="1"/>
      <name val="Arial"/>
      <scheme val="minor"/>
    </font>
    <font>
      <b/>
      <sz val="14.0"/>
      <color theme="1"/>
      <name val="Arial"/>
      <scheme val="minor"/>
    </font>
    <font>
      <sz val="18.0"/>
      <color rgb="FF0D0D0D"/>
      <name val="&quot;Segoe UI Light&quot;"/>
    </font>
  </fonts>
  <fills count="8">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FFFFFF"/>
        <bgColor rgb="FFFFFFFF"/>
      </patternFill>
    </fill>
    <fill>
      <patternFill patternType="solid">
        <fgColor rgb="FFA2C4C9"/>
        <bgColor rgb="FFA2C4C9"/>
      </patternFill>
    </fill>
    <fill>
      <patternFill patternType="solid">
        <fgColor rgb="FFF9CB9C"/>
        <bgColor rgb="FFF9CB9C"/>
      </patternFill>
    </fill>
    <fill>
      <patternFill patternType="solid">
        <fgColor rgb="FFE7E6E6"/>
        <bgColor rgb="FFE7E6E6"/>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center"/>
    </xf>
    <xf borderId="0" fillId="0" fontId="3" numFmtId="0" xfId="0" applyFont="1"/>
    <xf borderId="0" fillId="0" fontId="1" numFmtId="0" xfId="0" applyFont="1"/>
    <xf borderId="0" fillId="0" fontId="4" numFmtId="0" xfId="0" applyAlignment="1" applyFont="1">
      <alignment readingOrder="0" shrinkToFit="0" vertical="bottom" wrapText="0"/>
    </xf>
    <xf borderId="0" fillId="0" fontId="3" numFmtId="0" xfId="0" applyAlignment="1" applyFont="1">
      <alignment readingOrder="0"/>
    </xf>
    <xf borderId="0" fillId="0" fontId="5"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164" xfId="0" applyAlignment="1" applyFont="1" applyNumberFormat="1">
      <alignment readingOrder="0" shrinkToFit="0" vertical="bottom" wrapText="0"/>
    </xf>
    <xf borderId="0" fillId="0" fontId="3" numFmtId="0" xfId="0" applyAlignment="1" applyFont="1">
      <alignment horizontal="right" readingOrder="0"/>
    </xf>
    <xf borderId="0" fillId="0" fontId="5" numFmtId="164" xfId="0" applyAlignment="1" applyFont="1" applyNumberFormat="1">
      <alignment horizontal="right" readingOrder="0" shrinkToFit="0" vertical="bottom" wrapText="0"/>
    </xf>
    <xf borderId="0" fillId="0" fontId="3" numFmtId="0" xfId="0" applyAlignment="1" applyFont="1">
      <alignment readingOrder="0"/>
    </xf>
    <xf borderId="0" fillId="0" fontId="5" numFmtId="0" xfId="0" applyAlignment="1" applyFont="1">
      <alignment readingOrder="0" shrinkToFit="0" vertical="bottom" wrapText="0"/>
    </xf>
    <xf borderId="0" fillId="0" fontId="5" numFmtId="165" xfId="0" applyAlignment="1" applyFont="1" applyNumberFormat="1">
      <alignment horizontal="right" readingOrder="0" shrinkToFit="0" vertical="bottom" wrapText="0"/>
    </xf>
    <xf borderId="0" fillId="0" fontId="5" numFmtId="166" xfId="0" applyAlignment="1" applyFont="1" applyNumberFormat="1">
      <alignment horizontal="right" readingOrder="0" shrinkToFit="0" vertical="bottom" wrapText="0"/>
    </xf>
    <xf borderId="0" fillId="0" fontId="4" numFmtId="0" xfId="0" applyAlignment="1" applyFont="1">
      <alignment horizontal="left" readingOrder="0" shrinkToFit="0" vertical="bottom" wrapText="0"/>
    </xf>
    <xf borderId="0" fillId="0" fontId="4" numFmtId="164" xfId="0" applyAlignment="1" applyFont="1" applyNumberFormat="1">
      <alignment horizontal="right" readingOrder="0" shrinkToFit="0" vertical="bottom" wrapText="0"/>
    </xf>
    <xf borderId="0" fillId="0" fontId="4" numFmtId="0" xfId="0" applyAlignment="1" applyFont="1">
      <alignment horizontal="right" readingOrder="0" shrinkToFit="0" vertical="bottom" wrapText="0"/>
    </xf>
    <xf borderId="0" fillId="0" fontId="3" numFmtId="0" xfId="0" applyAlignment="1" applyFont="1">
      <alignment horizontal="right" readingOrder="0" shrinkToFit="0" vertical="center" wrapText="0"/>
    </xf>
    <xf borderId="0" fillId="0" fontId="3" numFmtId="4" xfId="0" applyAlignment="1" applyFont="1" applyNumberFormat="1">
      <alignment horizontal="left" readingOrder="0" shrinkToFit="0" vertical="center" wrapText="0"/>
    </xf>
    <xf borderId="0" fillId="0" fontId="3" numFmtId="167"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0" fontId="5"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164" xfId="0" applyAlignment="1" applyFont="1" applyNumberFormat="1">
      <alignment readingOrder="0" shrinkToFit="0" vertical="bottom" wrapText="0"/>
    </xf>
    <xf borderId="0" fillId="0" fontId="5" numFmtId="168" xfId="0" applyAlignment="1" applyFont="1" applyNumberFormat="1">
      <alignment readingOrder="0" shrinkToFit="0" vertical="bottom" wrapText="0"/>
    </xf>
    <xf borderId="0" fillId="0" fontId="3" numFmtId="0" xfId="0" applyAlignment="1" applyFont="1">
      <alignment readingOrder="0" shrinkToFit="0" vertical="center" wrapText="0"/>
    </xf>
    <xf borderId="0" fillId="0" fontId="3" numFmtId="4" xfId="0" applyAlignment="1" applyFont="1" applyNumberFormat="1">
      <alignment shrinkToFit="0" vertical="center" wrapText="0"/>
    </xf>
    <xf borderId="0" fillId="0" fontId="3" numFmtId="167" xfId="0" applyAlignment="1" applyFont="1" applyNumberFormat="1">
      <alignment shrinkToFit="0" vertical="center" wrapText="0"/>
    </xf>
    <xf borderId="0" fillId="0" fontId="3" numFmtId="0" xfId="0" applyAlignment="1" applyFont="1">
      <alignment shrinkToFit="0" vertical="center" wrapText="0"/>
    </xf>
    <xf borderId="1" fillId="0" fontId="5" numFmtId="0" xfId="0" applyAlignment="1" applyBorder="1" applyFont="1">
      <alignment readingOrder="0" shrinkToFit="0" vertical="bottom" wrapText="0"/>
    </xf>
    <xf borderId="1" fillId="0" fontId="5" numFmtId="0" xfId="0" applyAlignment="1" applyBorder="1" applyFont="1">
      <alignment horizontal="right" readingOrder="0" shrinkToFit="0" vertical="bottom" wrapText="0"/>
    </xf>
    <xf borderId="0" fillId="0" fontId="3" numFmtId="167" xfId="0" applyAlignment="1" applyFont="1" applyNumberFormat="1">
      <alignmen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164" xfId="0" applyAlignment="1" applyFont="1" applyNumberFormat="1">
      <alignment shrinkToFit="0" vertical="center" wrapText="0"/>
    </xf>
    <xf borderId="0" fillId="0" fontId="3" numFmtId="168" xfId="0" applyAlignment="1" applyFont="1" applyNumberFormat="1">
      <alignment shrinkToFit="0" vertical="center" wrapText="0"/>
    </xf>
    <xf borderId="0" fillId="0" fontId="3" numFmtId="164" xfId="0" applyAlignment="1" applyFont="1" applyNumberFormat="1">
      <alignment horizontal="right"/>
    </xf>
    <xf borderId="0" fillId="0" fontId="3" numFmtId="0" xfId="0" applyAlignment="1" applyFont="1">
      <alignment horizontal="right"/>
    </xf>
    <xf borderId="0" fillId="0" fontId="3" numFmtId="4" xfId="0" applyFont="1" applyNumberFormat="1"/>
    <xf borderId="0" fillId="0" fontId="3" numFmtId="167" xfId="0" applyFont="1" applyNumberFormat="1"/>
    <xf borderId="0" fillId="2" fontId="3" numFmtId="0" xfId="0" applyAlignment="1" applyFill="1" applyFont="1">
      <alignment horizontal="center" readingOrder="0"/>
    </xf>
    <xf borderId="0" fillId="3" fontId="3" numFmtId="0" xfId="0" applyAlignment="1" applyFill="1" applyFont="1">
      <alignment horizontal="center" readingOrder="0"/>
    </xf>
    <xf borderId="0" fillId="3" fontId="5" numFmtId="0" xfId="0" applyAlignment="1" applyFont="1">
      <alignment horizontal="center" readingOrder="0" shrinkToFit="0" vertical="bottom" wrapText="0"/>
    </xf>
    <xf borderId="0" fillId="0" fontId="3" numFmtId="0" xfId="0" applyAlignment="1" applyFont="1">
      <alignment horizontal="center"/>
    </xf>
    <xf borderId="0" fillId="0" fontId="3" numFmtId="0" xfId="0" applyFont="1"/>
    <xf borderId="0" fillId="0" fontId="3" numFmtId="0" xfId="0" applyAlignment="1" applyFont="1">
      <alignment horizontal="left"/>
    </xf>
    <xf borderId="0" fillId="3" fontId="3" numFmtId="0" xfId="0" applyAlignment="1" applyFont="1">
      <alignment readingOrder="0"/>
    </xf>
    <xf borderId="0" fillId="0" fontId="3" numFmtId="168" xfId="0" applyFont="1" applyNumberFormat="1"/>
    <xf borderId="0" fillId="0" fontId="3" numFmtId="10" xfId="0" applyFont="1" applyNumberFormat="1"/>
    <xf borderId="0" fillId="0" fontId="3" numFmtId="0" xfId="0" applyAlignment="1" applyFont="1">
      <alignment horizontal="right"/>
    </xf>
    <xf borderId="2" fillId="3" fontId="3" numFmtId="0" xfId="0" applyAlignment="1" applyBorder="1" applyFont="1">
      <alignment horizontal="left" readingOrder="0" shrinkToFit="0" vertical="top" wrapText="1"/>
    </xf>
    <xf borderId="0" fillId="0" fontId="3" numFmtId="164" xfId="0" applyAlignment="1" applyFont="1" applyNumberFormat="1">
      <alignment horizontal="left"/>
    </xf>
    <xf borderId="3" fillId="0" fontId="6" numFmtId="0" xfId="0" applyBorder="1" applyFont="1"/>
    <xf borderId="0" fillId="0" fontId="3" numFmtId="168" xfId="0" applyAlignment="1" applyFont="1" applyNumberFormat="1">
      <alignment horizontal="right"/>
    </xf>
    <xf borderId="0" fillId="0" fontId="3" numFmtId="0" xfId="0" applyFont="1"/>
    <xf borderId="0" fillId="0" fontId="3" numFmtId="4" xfId="0" applyAlignment="1" applyFont="1" applyNumberFormat="1">
      <alignment horizontal="left"/>
    </xf>
    <xf borderId="0" fillId="0" fontId="3" numFmtId="4" xfId="0" applyAlignment="1" applyFont="1" applyNumberFormat="1">
      <alignment horizontal="right"/>
    </xf>
    <xf borderId="4" fillId="4" fontId="5" numFmtId="0" xfId="0" applyAlignment="1" applyBorder="1" applyFill="1" applyFont="1">
      <alignment horizontal="center" readingOrder="0" shrinkToFit="0" vertical="center" wrapText="0"/>
    </xf>
    <xf borderId="0" fillId="0" fontId="3" numFmtId="4" xfId="0" applyAlignment="1" applyFont="1" applyNumberFormat="1">
      <alignment horizontal="left" readingOrder="0"/>
    </xf>
    <xf borderId="0" fillId="0" fontId="3" numFmtId="168" xfId="0" applyAlignment="1" applyFont="1" applyNumberFormat="1">
      <alignment horizontal="right"/>
    </xf>
    <xf borderId="0" fillId="0" fontId="3" numFmtId="0" xfId="0" applyAlignment="1" applyFont="1">
      <alignment horizontal="right"/>
    </xf>
    <xf borderId="0" fillId="0" fontId="3" numFmtId="0" xfId="0" applyAlignment="1" applyFont="1">
      <alignment horizontal="left" readingOrder="0" shrinkToFit="0" vertical="top" wrapText="1"/>
    </xf>
    <xf borderId="0" fillId="0" fontId="3" numFmtId="4" xfId="0" applyAlignment="1" applyFont="1" applyNumberFormat="1">
      <alignment horizontal="center"/>
    </xf>
    <xf borderId="0" fillId="4" fontId="3" numFmtId="0" xfId="0" applyAlignment="1" applyFont="1">
      <alignment horizontal="center" readingOrder="0"/>
    </xf>
    <xf borderId="0" fillId="0" fontId="3" numFmtId="164" xfId="0" applyFont="1" applyNumberFormat="1"/>
    <xf borderId="0" fillId="4" fontId="3" numFmtId="0" xfId="0" applyAlignment="1" applyFont="1">
      <alignment readingOrder="0"/>
    </xf>
    <xf borderId="0" fillId="4" fontId="3" numFmtId="0" xfId="0" applyFont="1"/>
    <xf borderId="5" fillId="5" fontId="7" numFmtId="0" xfId="0" applyAlignment="1" applyBorder="1" applyFill="1" applyFont="1">
      <alignment horizontal="center" readingOrder="0"/>
    </xf>
    <xf borderId="6" fillId="0" fontId="6" numFmtId="0" xfId="0" applyBorder="1" applyFont="1"/>
    <xf borderId="7" fillId="0" fontId="6" numFmtId="0" xfId="0" applyBorder="1" applyFont="1"/>
    <xf borderId="5" fillId="6" fontId="7" numFmtId="0" xfId="0" applyAlignment="1" applyBorder="1" applyFill="1" applyFont="1">
      <alignment horizontal="center" readingOrder="0"/>
    </xf>
    <xf borderId="1" fillId="5" fontId="8" numFmtId="0" xfId="0" applyAlignment="1" applyBorder="1" applyFont="1">
      <alignment horizontal="center" readingOrder="0" vertical="center"/>
    </xf>
    <xf borderId="1" fillId="6" fontId="8" numFmtId="0" xfId="0" applyAlignment="1" applyBorder="1" applyFont="1">
      <alignment horizontal="center" readingOrder="0" vertical="center"/>
    </xf>
    <xf borderId="1" fillId="5" fontId="9" numFmtId="0" xfId="0" applyAlignment="1" applyBorder="1" applyFont="1">
      <alignment horizontal="center" vertical="center"/>
    </xf>
    <xf borderId="1" fillId="5" fontId="9" numFmtId="10" xfId="0" applyAlignment="1" applyBorder="1" applyFont="1" applyNumberFormat="1">
      <alignment horizontal="center" vertical="center"/>
    </xf>
    <xf borderId="1" fillId="5" fontId="9" numFmtId="167" xfId="0" applyAlignment="1" applyBorder="1" applyFont="1" applyNumberFormat="1">
      <alignment horizontal="center" vertical="center"/>
    </xf>
    <xf borderId="1" fillId="6" fontId="9" numFmtId="0" xfId="0" applyAlignment="1" applyBorder="1" applyFont="1">
      <alignment horizontal="center" vertical="center"/>
    </xf>
    <xf borderId="1" fillId="6" fontId="9" numFmtId="10" xfId="0" applyAlignment="1" applyBorder="1" applyFont="1" applyNumberFormat="1">
      <alignment horizontal="center" vertical="center"/>
    </xf>
    <xf borderId="1" fillId="6" fontId="9" numFmtId="167" xfId="0" applyAlignment="1" applyBorder="1" applyFont="1" applyNumberFormat="1">
      <alignment horizontal="center" vertical="center"/>
    </xf>
    <xf borderId="0" fillId="7" fontId="10" numFmtId="0" xfId="0" applyAlignment="1" applyFill="1" applyFont="1">
      <alignment horizontal="center" readingOrder="0" shrinkToFit="0" wrapText="0"/>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FFFFFF"/>
                </a:solidFill>
                <a:latin typeface="+mn-lt"/>
              </a:defRPr>
            </a:pPr>
            <a:r>
              <a:rPr b="1" sz="1400">
                <a:solidFill>
                  <a:srgbClr val="FFFFFF"/>
                </a:solidFill>
                <a:latin typeface="+mn-lt"/>
              </a:rPr>
              <a:t>Relationship between Salary and Rating</a:t>
            </a:r>
          </a:p>
        </c:rich>
      </c:tx>
      <c:overlay val="0"/>
    </c:title>
    <c:plotArea>
      <c:layout/>
      <c:scatterChart>
        <c:scatterStyle val="lineMarker"/>
        <c:ser>
          <c:idx val="0"/>
          <c:order val="0"/>
          <c:tx>
            <c:strRef>
              <c:f>StaffData!$K$1</c:f>
            </c:strRef>
          </c:tx>
          <c:spPr>
            <a:ln>
              <a:noFill/>
            </a:ln>
          </c:spPr>
          <c:marker>
            <c:symbol val="x"/>
            <c:size val="7"/>
            <c:spPr>
              <a:solidFill>
                <a:srgbClr val="3C78D8"/>
              </a:solidFill>
              <a:ln cmpd="sng">
                <a:solidFill>
                  <a:srgbClr val="3C78D8"/>
                </a:solidFill>
              </a:ln>
            </c:spPr>
          </c:marker>
          <c:xVal>
            <c:numRef>
              <c:f>StaffData!$F$2:$F$185</c:f>
            </c:numRef>
          </c:xVal>
          <c:yVal>
            <c:numRef>
              <c:f>StaffData!$K$2:$K$185</c:f>
              <c:numCache/>
            </c:numRef>
          </c:yVal>
        </c:ser>
        <c:ser>
          <c:idx val="1"/>
          <c:order val="1"/>
          <c:tx>
            <c:strRef>
              <c:f>StaffData!$F$1</c:f>
            </c:strRef>
          </c:tx>
          <c:spPr>
            <a:ln>
              <a:noFill/>
            </a:ln>
          </c:spPr>
          <c:marker>
            <c:symbol val="x"/>
            <c:size val="7"/>
            <c:spPr>
              <a:solidFill>
                <a:schemeClr val="accent2"/>
              </a:solidFill>
              <a:ln cmpd="sng">
                <a:solidFill>
                  <a:schemeClr val="accent2"/>
                </a:solidFill>
              </a:ln>
            </c:spPr>
          </c:marker>
          <c:xVal>
            <c:numRef>
              <c:f>StaffData!$F$2:$F$185</c:f>
            </c:numRef>
          </c:xVal>
          <c:yVal>
            <c:numRef>
              <c:f>StaffData!$F$2:$F$185</c:f>
              <c:numCache/>
            </c:numRef>
          </c:yVal>
        </c:ser>
        <c:dLbls>
          <c:showLegendKey val="0"/>
          <c:showVal val="0"/>
          <c:showCatName val="0"/>
          <c:showSerName val="0"/>
          <c:showPercent val="0"/>
          <c:showBubbleSize val="0"/>
        </c:dLbls>
        <c:axId val="724062433"/>
        <c:axId val="37745285"/>
      </c:scatterChart>
      <c:valAx>
        <c:axId val="724062433"/>
        <c:scaling>
          <c:orientation val="minMax"/>
          <c:max val="140000.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1800000"/>
          <a:lstStyle/>
          <a:p>
            <a:pPr lvl="0">
              <a:defRPr b="1">
                <a:solidFill>
                  <a:srgbClr val="FFFFFF"/>
                </a:solidFill>
                <a:latin typeface="+mn-lt"/>
              </a:defRPr>
            </a:pPr>
          </a:p>
        </c:txPr>
        <c:crossAx val="37745285"/>
      </c:valAx>
      <c:valAx>
        <c:axId val="37745285"/>
        <c:scaling>
          <c:orientation val="minMax"/>
          <c:max val="6.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FFFFFF"/>
                </a:solidFill>
                <a:latin typeface="+mn-lt"/>
              </a:defRPr>
            </a:pPr>
          </a:p>
        </c:txPr>
        <c:crossAx val="724062433"/>
      </c:valAx>
    </c:plotArea>
    <c:legend>
      <c:legendPos val="r"/>
      <c:overlay val="0"/>
      <c:txPr>
        <a:bodyPr/>
        <a:lstStyle/>
        <a:p>
          <a:pPr lvl="0">
            <a:defRPr b="1">
              <a:solidFill>
                <a:srgbClr val="FFFFFF"/>
              </a:solidFill>
              <a:latin typeface="+mn-lt"/>
            </a:defRPr>
          </a:pPr>
        </a:p>
      </c:txPr>
    </c:legend>
    <c:plotVisOnly val="1"/>
  </c:chart>
  <c:spPr>
    <a:solidFill>
      <a:srgbClr val="000000"/>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FFFFFF"/>
                </a:solidFill>
                <a:latin typeface="+mn-lt"/>
              </a:defRPr>
            </a:pPr>
            <a:r>
              <a:rPr b="1" sz="1400">
                <a:solidFill>
                  <a:srgbClr val="FFFFFF"/>
                </a:solidFill>
                <a:latin typeface="+mn-lt"/>
              </a:rPr>
              <a:t>COUNTA of Name vs. Year</a:t>
            </a:r>
          </a:p>
        </c:rich>
      </c:tx>
      <c:overlay val="0"/>
    </c:title>
    <c:plotArea>
      <c:layout/>
      <c:lineChart>
        <c:varyColors val="0"/>
        <c:ser>
          <c:idx val="0"/>
          <c:order val="0"/>
          <c:tx>
            <c:strRef>
              <c:f>Charts!$S$2</c:f>
            </c:strRef>
          </c:tx>
          <c:spPr>
            <a:ln cmpd="sng">
              <a:solidFill>
                <a:srgbClr val="0000FF">
                  <a:alpha val="100000"/>
                </a:srgbClr>
              </a:solidFill>
            </a:ln>
          </c:spPr>
          <c:marker>
            <c:symbol val="circle"/>
            <c:size val="10"/>
            <c:spPr>
              <a:solidFill>
                <a:srgbClr val="0000FF">
                  <a:alpha val="100000"/>
                </a:srgbClr>
              </a:solidFill>
              <a:ln cmpd="sng">
                <a:solidFill>
                  <a:srgbClr val="0000FF">
                    <a:alpha val="100000"/>
                  </a:srgbClr>
                </a:solidFill>
              </a:ln>
            </c:spPr>
          </c:marker>
          <c:cat>
            <c:strRef>
              <c:f>Charts!$Q$3:$Q$6</c:f>
            </c:strRef>
          </c:cat>
          <c:val>
            <c:numRef>
              <c:f>Charts!$S$3:$S$6</c:f>
              <c:numCache/>
            </c:numRef>
          </c:val>
          <c:smooth val="0"/>
        </c:ser>
        <c:axId val="1985082773"/>
        <c:axId val="224406592"/>
      </c:lineChart>
      <c:catAx>
        <c:axId val="19850827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FFFFFF"/>
                </a:solidFill>
                <a:latin typeface="+mn-lt"/>
              </a:defRPr>
            </a:pPr>
          </a:p>
        </c:txPr>
        <c:crossAx val="224406592"/>
      </c:catAx>
      <c:valAx>
        <c:axId val="22440659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COUNTA of Name</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985082773"/>
      </c:valAx>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COUNTA of Name vs. Department</a:t>
            </a:r>
          </a:p>
        </c:rich>
      </c:tx>
      <c:overlay val="0"/>
    </c:title>
    <c:view3D>
      <c:rotX val="15"/>
      <c:rotY val="20"/>
      <c:depthPercent val="100"/>
      <c:rAngAx val="1"/>
    </c:view3D>
    <c:plotArea>
      <c:layout/>
      <c:bar3DChart>
        <c:barDir val="bar"/>
        <c:grouping val="clustered"/>
        <c:ser>
          <c:idx val="0"/>
          <c:order val="0"/>
          <c:tx>
            <c:strRef>
              <c:f>INDvsNZ!$Y$4</c:f>
            </c:strRef>
          </c:tx>
          <c:spPr>
            <a:solidFill>
              <a:srgbClr val="0000FF"/>
            </a:solidFill>
            <a:ln cmpd="sng">
              <a:solidFill>
                <a:srgbClr val="CFE2F3">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INDvsNZ!$X$5:$X$9</c:f>
            </c:strRef>
          </c:cat>
          <c:val>
            <c:numRef>
              <c:f>INDvsNZ!$Y$5:$Y$9</c:f>
              <c:numCache/>
            </c:numRef>
          </c:val>
        </c:ser>
        <c:axId val="1713038824"/>
        <c:axId val="1789204545"/>
      </c:bar3DChart>
      <c:catAx>
        <c:axId val="17130388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FFFFFF"/>
                </a:solidFill>
                <a:latin typeface="+mn-lt"/>
              </a:defRPr>
            </a:pPr>
          </a:p>
        </c:txPr>
        <c:crossAx val="1789204545"/>
      </c:catAx>
      <c:valAx>
        <c:axId val="17892045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Name</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713038824"/>
        <c:crosses val="max"/>
      </c:valAx>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COUNTA of Name vs. Department</a:t>
            </a:r>
          </a:p>
        </c:rich>
      </c:tx>
      <c:overlay val="0"/>
    </c:title>
    <c:view3D>
      <c:rotX val="15"/>
      <c:rotY val="20"/>
      <c:depthPercent val="100"/>
      <c:rAngAx val="1"/>
    </c:view3D>
    <c:plotArea>
      <c:layout/>
      <c:bar3DChart>
        <c:barDir val="bar"/>
        <c:grouping val="clustered"/>
        <c:ser>
          <c:idx val="0"/>
          <c:order val="0"/>
          <c:tx>
            <c:strRef>
              <c:f>INDvsNZ!$AB$4</c:f>
            </c:strRef>
          </c:tx>
          <c:spPr>
            <a:solidFill>
              <a:srgbClr val="0000FF"/>
            </a:solidFill>
            <a:ln cmpd="sng">
              <a:solidFill>
                <a:srgbClr val="FFFF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INDvsNZ!$AA$5:$AA$9</c:f>
            </c:strRef>
          </c:cat>
          <c:val>
            <c:numRef>
              <c:f>INDvsNZ!$AB$5:$AB$9</c:f>
              <c:numCache/>
            </c:numRef>
          </c:val>
        </c:ser>
        <c:axId val="2034769363"/>
        <c:axId val="299198930"/>
      </c:bar3DChart>
      <c:catAx>
        <c:axId val="20347693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FFFFFF"/>
                </a:solidFill>
                <a:latin typeface="+mn-lt"/>
              </a:defRPr>
            </a:pPr>
          </a:p>
        </c:txPr>
        <c:crossAx val="299198930"/>
      </c:catAx>
      <c:valAx>
        <c:axId val="29919893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Name</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034769363"/>
        <c:crosses val="max"/>
      </c:valAx>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drawings/_rels/drawing5.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66675</xdr:colOff>
      <xdr:row>8</xdr:row>
      <xdr:rowOff>209550</xdr:rowOff>
    </xdr:from>
    <xdr:ext cx="1981200" cy="2857500"/>
    <mc:AlternateContent>
      <mc:Choice Requires="sle15">
        <xdr:graphicFrame>
          <xdr:nvGraphicFramePr>
            <xdr:cNvPr id="1" name="Country_1"/>
            <xdr:cNvGraphicFramePr/>
          </xdr:nvGraphicFramePr>
          <xdr:xfrm>
            <a:off x="0" y="0"/>
            <a:ext cx="0" cy="0"/>
          </xdr:xfrm>
          <a:graphic>
            <a:graphicData uri="http://schemas.microsoft.com/office/drawing/2010/slicer">
              <x3Unk:slicer name="Count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133350</xdr:rowOff>
    </xdr:from>
    <xdr:ext cx="4905375" cy="3038475"/>
    <xdr:pic>
      <xdr:nvPicPr>
        <xdr:cNvPr id="107863319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xdr:colOff>
      <xdr:row>8</xdr:row>
      <xdr:rowOff>133350</xdr:rowOff>
    </xdr:from>
    <xdr:ext cx="5029200" cy="30384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200025</xdr:colOff>
      <xdr:row>8</xdr:row>
      <xdr:rowOff>133350</xdr:rowOff>
    </xdr:from>
    <xdr:ext cx="4981575" cy="30384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4</xdr:row>
      <xdr:rowOff>285750</xdr:rowOff>
    </xdr:from>
    <xdr:ext cx="4743450" cy="33051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285750</xdr:colOff>
      <xdr:row>4</xdr:row>
      <xdr:rowOff>285750</xdr:rowOff>
    </xdr:from>
    <xdr:ext cx="4905375" cy="340995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13" sheet="StaffData"/>
  </cacheSource>
  <cacheFields>
    <cacheField name="Name" numFmtId="0">
      <sharedItems containsBlank="1">
        <s v="Gretchen Callow"/>
        <s v="Shubhra Potla"/>
        <s v="Niall Selesnick"/>
        <s v="Suchira Bhanupriya Tapti"/>
        <s v="Bili Sizey"/>
        <s v="Waheeda Vasuman"/>
        <s v="Orton Livick"/>
        <s v="Akbar Sorabhjee"/>
        <s v="Archibald Filliskirk"/>
        <s v="Shobhana Samuel"/>
        <s v="Crissie Cordel"/>
        <s v="Prerana Nishita"/>
        <s v="Dotty Strutley"/>
        <s v="Jagajeet Viraj"/>
        <s v="Drusy MacCombe"/>
        <s v="Rupak Mehra"/>
        <s v="Kassi Jonson"/>
        <s v="Yagna Sujeev"/>
        <s v="Florinda Crace"/>
        <s v="Madhavdas Buhpathi"/>
        <s v="Dell Molloy"/>
        <s v="Shiuli Sapna"/>
        <s v="Jan Morforth"/>
        <s v="Ardhendu Abhichandra Jayakar"/>
        <s v="Erin Androsik"/>
        <s v="Piyali Mahanthapa"/>
        <s v="Gunar Cockshoot"/>
        <s v="Amal Nimesh"/>
        <s v="Esmaria Denecamp"/>
        <s v="Vanmala Shriharsha"/>
        <s v="Violante Courtonne"/>
        <s v="Daruka Ghazali"/>
        <s v="Kaye Crocroft"/>
        <s v="Gumwant Veera"/>
        <s v="Tatum Hush"/>
        <s v="Anumati Shyamari Meherhomji"/>
        <s v="Hoyt D'Alesco"/>
        <s v="Zach Polon"/>
        <s v="Geena Raghavanpillai"/>
        <s v="Chitrasen Laul"/>
        <s v="William Reeveley"/>
        <s v="Pragya Nilufar"/>
        <s v="Alta Kaszper"/>
        <s v="Sanchali Shirish"/>
        <s v="Oran Buxcy"/>
        <s v="Mirium Seemantini Shivakumar"/>
        <s v="Kelci Walkden"/>
        <s v="Shattesh Utpat"/>
        <s v="Brien Boise"/>
        <s v="Pratigya Rema"/>
        <s v="Oby Sorrel"/>
        <s v="Krittika Gaekwad"/>
        <s v="Lilyan Klimpt"/>
        <s v="Vinanti Choudhari"/>
        <s v="My Hanscome"/>
        <s v="Asija Pothireddy"/>
        <s v="Jehu Rudeforth"/>
        <s v="Lalit Kothari"/>
        <s v="Mallorie Waber"/>
        <s v="Mardav Ramaswami"/>
        <s v="Vic Radolf"/>
        <s v="Fullara Sushanti Mokate"/>
        <s v="Curtice Advani"/>
        <s v="Upendra Swati"/>
        <s v="Teressa Udden"/>
        <s v="Kevalkumar Solanki"/>
        <s v="Kath Bletsoe"/>
        <s v="Abhaya Priyavardhan"/>
        <s v="Marney O'Breen"/>
        <s v="Agrata Rajarama"/>
        <s v="Husein Augar"/>
        <s v="Kantimoy Pritish"/>
        <s v="Ebonee Roxburgh"/>
        <s v="Mahindra Sreedharan"/>
        <s v="Hyacinthie Braybrooke"/>
        <s v="Devasree Fullara Saurin"/>
        <s v="Murry Dryburgh"/>
        <s v="Jaishree Atasi Yavatkar"/>
        <s v="Andria Kimpton"/>
        <s v="Rameshwari Chikodi"/>
        <s v="Myer McCory"/>
        <s v="Shekhar Eswara"/>
        <s v="Shayne Stegel"/>
        <s v="Chandana Sannidhi Surnilla"/>
        <s v="Ambros Murthwaite"/>
        <s v="Ranajay Kailashnath Richa"/>
        <s v="Bennie Pepis"/>
        <s v="Kulbhushan Moorthy"/>
        <s v="Gigi Bohling"/>
        <s v="Yauvani Tarpa"/>
        <s v="Barr Faughny"/>
        <s v="Nanak Sapna"/>
        <s v="Elia Cockton"/>
        <s v="Hemavati Muthiah"/>
        <s v="Camilla Castle"/>
        <s v="Ayog Chakrabarti"/>
        <s v="Shari McNee"/>
        <s v="Sameer Shashank Sapra"/>
        <s v="Beverie Moffet"/>
        <s v="Indu Varada Sumedh"/>
        <s v="Virginia McConville"/>
        <s v="Shreela Ramasubraman"/>
        <s v="Allene Gobbet"/>
        <s v="Rushil Kripa"/>
        <s v="Gray Seamon"/>
        <s v="Shulabh Qutub Sundaramoorthy"/>
        <s v="Kellsie Waby"/>
        <s v="Udyan Lanka"/>
        <s v="Van Tuxwell"/>
        <s v="Bhuvan Pals"/>
        <s v="Agnes Collicott"/>
        <s v="Kunja Prashanta Vibha"/>
        <s v="Karlen McCaffrey"/>
        <s v="Tarala Vishaal"/>
        <s v="Sibyl Dunkirk"/>
        <s v="Madhumati Gazala Soumitra"/>
        <s v="Merrilee Plenty"/>
        <s v="Godavari Veena"/>
        <s v="Ches Bonnell"/>
        <s v="Gangadutt Ragha"/>
        <s v="Dennison Crosswaite"/>
        <s v="Karuna Pashupathy"/>
        <s v="Madge McCloughen"/>
        <s v="Rukma Vinita"/>
        <s v="Enoch Dowrey"/>
        <s v="Kamalakshi Mukundan"/>
        <s v="Leilah Yesinin"/>
        <s v="Deepit Ranjana"/>
        <s v="Hinda Label"/>
        <s v="Purnendu Vijayarangan"/>
        <s v="Torrance Collier"/>
        <s v="Sukhdev Nageshwar"/>
        <s v="Constantino Espley"/>
        <s v="Mithil Nadkarni"/>
        <s v="Simon Kembery"/>
        <s v="Baruna Ogale"/>
        <s v="Bernie Gorges"/>
        <s v="Vasu Nandin"/>
        <s v="Collin Jagson"/>
        <s v="Amlankusum Rajabhushan"/>
        <s v="Dyna Doucette"/>
        <s v="Satyendra Venkatadri"/>
        <s v="Cherlyn Barter"/>
        <s v="Sartaj Probal"/>
        <s v="Caro Chappel"/>
        <s v="Manjusri Ruchi"/>
        <s v="Janene Hairsine"/>
        <s v="Shevantilal Muppala"/>
        <s v="Kissiah Maydway"/>
        <s v="Sahas Sanabhi Shrikant"/>
        <s v="Kaine Padly"/>
        <s v="Hridaynath Tendulkar"/>
        <s v="Rafaelita Blaksland"/>
        <s v="Sawini Chandan"/>
        <s v="Madelene Upcott"/>
        <s v="Damayanti Thangavadivelu"/>
        <s v="Bev Lashley"/>
        <s v="Narois Motiwala"/>
        <s v="Halimeda Kuscha"/>
        <s v="Makshi Vinutha"/>
        <s v="Mollie Hanway"/>
        <s v="Deepali Charan"/>
        <s v="Bandhula Sathyanna"/>
        <s v="Lindy Guillet"/>
        <s v="Krishnakanta Vellanki"/>
        <s v="Mahalia Larcher"/>
        <s v="Ilesh Dasgupta"/>
        <s v="Hogan Iles"/>
        <s v="Sarojini Naueshwara"/>
        <s v="Wilone O'Kielt"/>
        <s v="Ramnath Ravuri"/>
        <s v="Tracy Renad"/>
        <s v="Dhruv Manjunath"/>
        <s v="Benny Karolovsky"/>
        <s v="Sahila Chandrasekhar"/>
        <s v="Roddy Speechley"/>
        <s v="Sarayu Ragunathan"/>
        <s v="Valentia Etteridge"/>
        <s v="Kaishori Harathi Kateel"/>
        <s v="Tawnya Tickel"/>
        <s v="Heer Pennathur"/>
        <s v="Ewart Laphorn"/>
        <s v="Anjushri Chandiramani"/>
        <m/>
      </sharedItems>
    </cacheField>
    <cacheField name="Gender" numFmtId="0">
      <sharedItems containsBlank="1">
        <s v="Female"/>
        <s v="Male"/>
        <s v="Other"/>
        <m/>
      </sharedItems>
    </cacheField>
    <cacheField name="Department" numFmtId="0">
      <sharedItems containsBlank="1">
        <s v="Website"/>
        <s v="Sales"/>
        <s v="Procurement"/>
        <s v="HR"/>
        <s v="Finance"/>
        <m/>
      </sharedItems>
    </cacheField>
    <cacheField name="Age" numFmtId="0">
      <sharedItems containsString="0" containsBlank="1" containsNumber="1" containsInteger="1">
        <n v="21.0"/>
        <n v="29.0"/>
        <n v="43.0"/>
        <n v="35.0"/>
        <n v="32.0"/>
        <n v="31.0"/>
        <n v="28.0"/>
        <n v="26.0"/>
        <n v="33.0"/>
        <n v="27.0"/>
        <n v="34.0"/>
        <n v="24.0"/>
        <n v="38.0"/>
        <n v="19.0"/>
        <n v="30.0"/>
        <n v="25.0"/>
        <n v="20.0"/>
        <n v="37.0"/>
        <n v="42.0"/>
        <n v="46.0"/>
        <n v="36.0"/>
        <n v="22.0"/>
        <n v="40.0"/>
        <n v="23.0"/>
        <n v="44.0"/>
        <m/>
      </sharedItems>
    </cacheField>
    <cacheField name="Date Joined" numFmtId="164">
      <sharedItems containsDate="1" containsString="0" containsBlank="1">
        <d v="2022-04-27T00:00:00Z"/>
        <d v="2022-02-27T00:00:00Z"/>
        <d v="2020-07-11T00:00:00Z"/>
        <d v="2020-05-11T00:00:00Z"/>
        <d v="2022-02-28T00:00:00Z"/>
        <d v="2021-12-28T00:00:00Z"/>
        <d v="2020-09-30T00:00:00Z"/>
        <d v="2020-07-30T00:00:00Z"/>
        <d v="2022-06-15T00:00:00Z"/>
        <d v="2022-04-15T00:00:00Z"/>
        <d v="2022-02-19T00:00:00Z"/>
        <d v="2021-12-19T00:00:00Z"/>
        <d v="2020-11-10T00:00:00Z"/>
        <d v="2020-09-10T00:00:00Z"/>
        <d v="2022-09-16T00:00:00Z"/>
        <d v="2022-07-16T00:00:00Z"/>
        <d v="2021-06-07T00:00:00Z"/>
        <d v="2021-04-07T00:00:00Z"/>
        <d v="2021-07-23T00:00:00Z"/>
        <d v="2021-05-23T00:00:00Z"/>
        <d v="2021-01-29T00:00:00Z"/>
        <d v="2020-11-29T00:00:00Z"/>
        <d v="2020-07-29T00:00:00Z"/>
        <d v="2020-05-29T00:00:00Z"/>
        <d v="2022-05-20T00:00:00Z"/>
        <d v="2022-03-20T00:00:00Z"/>
        <d v="2021-11-11T00:00:00Z"/>
        <d v="2021-09-11T00:00:00Z"/>
        <d v="2022-01-06T00:00:00Z"/>
        <d v="2021-11-06T00:00:00Z"/>
        <d v="2022-06-09T00:00:00Z"/>
        <d v="2022-04-09T00:00:00Z"/>
        <d v="2021-08-28T00:00:00Z"/>
        <d v="2021-06-28T00:00:00Z"/>
        <d v="2021-06-10T00:00:00Z"/>
        <d v="2021-04-10T00:00:00Z"/>
        <d v="2021-09-26T00:00:00Z"/>
        <d v="2021-08-03T00:00:00Z"/>
        <d v="2021-07-26T00:00:00Z"/>
        <d v="2021-06-03T00:00:00Z"/>
        <d v="2021-11-09T00:00:00Z"/>
        <d v="2021-09-09T00:00:00Z"/>
        <d v="2020-10-30T00:00:00Z"/>
        <d v="2020-08-30T00:00:00Z"/>
        <d v="2021-05-13T00:00:00Z"/>
        <d v="2021-03-13T00:00:00Z"/>
        <d v="2022-07-20T00:00:00Z"/>
        <d v="2022-04-12T00:00:00Z"/>
        <d v="2022-02-12T00:00:00Z"/>
        <d v="2022-04-02T00:00:00Z"/>
        <d v="2022-02-02T00:00:00Z"/>
        <d v="2021-03-22T00:00:00Z"/>
        <d v="2021-01-22T00:00:00Z"/>
        <d v="2021-02-16T00:00:00Z"/>
        <d v="2020-12-16T00:00:00Z"/>
        <d v="2022-02-20T00:00:00Z"/>
        <d v="2021-12-20T00:00:00Z"/>
        <d v="2022-02-15T00:00:00Z"/>
        <d v="2020-11-13T00:00:00Z"/>
        <d v="2020-09-13T00:00:00Z"/>
        <d v="2022-02-05T00:00:00Z"/>
        <d v="2021-12-05T00:00:00Z"/>
        <d v="2020-08-24T00:00:00Z"/>
        <d v="2020-06-24T00:00:00Z"/>
        <d v="2021-07-06T00:00:00Z"/>
        <d v="2021-05-06T00:00:00Z"/>
        <d v="2021-05-01T00:00:00Z"/>
        <d v="2021-03-01T00:00:00Z"/>
        <d v="2021-07-12T00:00:00Z"/>
        <d v="2021-05-12T00:00:00Z"/>
        <d v="2021-12-07T00:00:00Z"/>
        <d v="2021-10-07T00:00:00Z"/>
        <d v="2021-03-18T00:00:00Z"/>
        <d v="2021-01-18T00:00:00Z"/>
        <d v="2022-10-16T00:00:00Z"/>
        <d v="2022-08-16T00:00:00Z"/>
        <d v="2022-06-19T00:00:00Z"/>
        <d v="2022-04-19T00:00:00Z"/>
        <d v="2022-05-16T00:00:00Z"/>
        <d v="2021-05-17T00:00:00Z"/>
        <d v="2021-03-17T00:00:00Z"/>
        <d v="2021-07-08T00:00:00Z"/>
        <d v="2021-05-08T00:00:00Z"/>
        <d v="2022-08-06T00:00:00Z"/>
        <d v="2022-06-06T00:00:00Z"/>
        <d v="2021-04-26T00:00:00Z"/>
        <d v="2021-02-26T00:00:00Z"/>
        <d v="2021-06-27T00:00:00Z"/>
        <d v="2021-04-27T00:00:00Z"/>
        <d v="2021-02-15T00:00:00Z"/>
        <d v="2020-12-15T00:00:00Z"/>
        <d v="2020-12-20T00:00:00Z"/>
        <d v="2020-10-20T00:00:00Z"/>
        <d v="2021-07-11T00:00:00Z"/>
        <d v="2021-11-29T00:00:00Z"/>
        <d v="2021-09-29T00:00:00Z"/>
        <d v="2021-10-25T00:00:00Z"/>
        <d v="2021-08-25T00:00:00Z"/>
        <d v="2022-07-02T00:00:00Z"/>
        <d v="2022-05-02T00:00:00Z"/>
        <d v="2022-05-13T00:00:00Z"/>
        <d v="2022-03-13T00:00:00Z"/>
        <d v="2022-05-05T00:00:00Z"/>
        <d v="2022-03-05T00:00:00Z"/>
        <d v="2021-09-20T00:00:00Z"/>
        <d v="2021-07-20T00:00:00Z"/>
        <d v="2022-09-05T00:00:00Z"/>
        <d v="2022-07-05T00:00:00Z"/>
        <d v="2021-05-21T00:00:00Z"/>
        <d v="2021-03-21T00:00:00Z"/>
        <d v="2021-05-22T00:00:00Z"/>
        <d v="2021-03-16T00:00:00Z"/>
        <d v="2021-01-16T00:00:00Z"/>
        <d v="2022-08-01T00:00:00Z"/>
        <d v="2022-06-01T00:00:00Z"/>
        <d v="2021-02-09T00:00:00Z"/>
        <d v="2020-12-09T00:00:00Z"/>
        <d v="2021-09-06T00:00:00Z"/>
        <d v="2021-01-09T00:00:00Z"/>
        <d v="2020-11-09T00:00:00Z"/>
        <d v="2020-12-25T00:00:00Z"/>
        <d v="2020-10-25T00:00:00Z"/>
        <d v="2022-02-14T00:00:00Z"/>
        <d v="2021-12-14T00:00:00Z"/>
        <d v="2021-03-08T00:00:00Z"/>
        <d v="2021-01-08T00:00:00Z"/>
        <d v="2022-03-10T00:00:00Z"/>
        <d v="2022-01-10T00:00:00Z"/>
        <d v="2022-06-12T00:00:00Z"/>
        <d v="2022-03-29T00:00:00Z"/>
        <d v="2022-01-29T00:00:00Z"/>
        <d v="2021-07-04T00:00:00Z"/>
        <d v="2021-05-04T00:00:00Z"/>
        <d v="2021-10-17T00:00:00Z"/>
        <d v="2021-08-17T00:00:00Z"/>
        <d v="2021-09-01T00:00:00Z"/>
        <d v="2021-07-01T00:00:00Z"/>
        <d v="2021-06-30T00:00:00Z"/>
        <d v="2021-04-30T00:00:00Z"/>
        <d v="2022-06-14T00:00:00Z"/>
        <d v="2022-04-14T00:00:00Z"/>
        <d v="2020-10-15T00:00:00Z"/>
        <d v="2022-10-27T00:00:00Z"/>
        <d v="2022-08-27T00:00:00Z"/>
        <d v="2020-12-18T00:00:00Z"/>
        <d v="2022-05-22T00:00:00Z"/>
        <d v="2020-10-18T00:00:00Z"/>
        <d v="2022-03-22T00:00:00Z"/>
        <d v="2021-09-07T00:00:00Z"/>
        <d v="2021-07-07T00:00:00Z"/>
        <d v="2022-02-17T00:00:00Z"/>
        <d v="2021-12-17T00:00:00Z"/>
        <d v="2023-04-29T00:00:00Z"/>
        <d v="2023-02-28T00:00:00Z"/>
        <d v="2020-09-11T00:00:00Z"/>
        <d v="2020-11-11T00:00:00Z"/>
        <d v="2020-09-29T00:00:00Z"/>
        <d v="2021-09-12T00:00:00Z"/>
        <d v="2020-07-07T00:00:00Z"/>
        <d v="2020-05-07T00:00:00Z"/>
        <d v="2020-08-18T00:00:00Z"/>
        <m/>
      </sharedItems>
    </cacheField>
    <cacheField name="Salary" numFmtId="168">
      <sharedItems containsString="0" containsBlank="1" containsNumber="1" containsInteger="1">
        <n v="33920.0"/>
        <n v="34980.0"/>
        <n v="36040.0"/>
        <n v="37920.0"/>
        <n v="40400.0"/>
        <n v="41570.0"/>
        <n v="41980.0"/>
        <n v="43510.0"/>
        <n v="43840.0"/>
        <n v="45510.0"/>
        <n v="47360.0"/>
        <n v="48170.0"/>
        <n v="48530.0"/>
        <n v="48950.0"/>
        <n v="48980.0"/>
        <n v="49630.0"/>
        <n v="52610.0"/>
        <n v="53240.0"/>
        <n v="53540.0"/>
        <n v="53870.0"/>
        <n v="54970.0"/>
        <n v="56870.0"/>
        <n v="57090.0"/>
        <n v="58100.0"/>
        <n v="58940.0"/>
        <n v="58960.0"/>
        <n v="59430.0"/>
        <n v="60130.0"/>
        <n v="60570.0"/>
        <n v="62780.0"/>
        <n v="64000.0"/>
        <n v="65360.0"/>
        <n v="65700.0"/>
        <n v="65920.0"/>
        <n v="67910.0"/>
        <n v="67950.0"/>
        <n v="68900.0"/>
        <n v="69070.0"/>
        <n v="69120.0"/>
        <n v="69710.0"/>
        <n v="70270.0"/>
        <n v="70610.0"/>
        <n v="71380.0"/>
        <n v="74550.0"/>
        <n v="75000.0"/>
        <n v="75280.0"/>
        <n v="75480.0"/>
        <n v="75880.0"/>
        <n v="75970.0"/>
        <n v="76900.0"/>
        <n v="78390.0"/>
        <n v="78540.0"/>
        <n v="79570.0"/>
        <n v="80700.0"/>
        <n v="83750.0"/>
        <n v="85000.0"/>
        <n v="86570.0"/>
        <n v="87620.0"/>
        <n v="88050.0"/>
        <n v="90700.0"/>
        <n v="91310.0"/>
        <n v="91650.0"/>
        <n v="92450.0"/>
        <n v="92700.0"/>
        <n v="96140.0"/>
        <n v="96800.0"/>
        <n v="99750.0"/>
        <n v="99970.0"/>
        <n v="100420.0"/>
        <n v="103550.0"/>
        <n v="104120.0"/>
        <n v="104410.0"/>
        <n v="104770.0"/>
        <n v="106460.0"/>
        <n v="107700.0"/>
        <n v="109160.0"/>
        <n v="109190.0"/>
        <n v="112110.0"/>
        <n v="112570.0"/>
        <n v="112650.0"/>
        <n v="112780.0"/>
        <n v="113280.0"/>
        <n v="114180.0"/>
        <n v="114870.0"/>
        <n v="114890.0"/>
        <n v="115440.0"/>
        <n v="115920.0"/>
        <n v="118100.0"/>
        <n v="118840.0"/>
        <n v="119110.0"/>
        <m/>
      </sharedItems>
    </cacheField>
    <cacheField name="Rating" numFmtId="0">
      <sharedItems containsBlank="1">
        <s v="Average"/>
        <s v="Very poor"/>
        <s v="Above average"/>
        <s v="Poor"/>
        <s v="Exceptional"/>
        <m/>
      </sharedItems>
    </cacheField>
    <cacheField name="Country" numFmtId="0">
      <sharedItems containsBlank="1">
        <s v="IND"/>
        <s v="NZ"/>
        <m/>
      </sharedItems>
    </cacheField>
    <cacheField name="Tenure" numFmtId="4">
      <sharedItems containsString="0" containsBlank="1" containsNumber="1">
        <n v="4.06027397260274"/>
        <n v="4.221917808219178"/>
        <n v="5.854794520547945"/>
        <n v="6.021917808219178"/>
        <n v="4.219178082191781"/>
        <n v="4.389041095890411"/>
        <n v="5.632876712328767"/>
        <n v="5.802739726027397"/>
        <n v="3.926027397260274"/>
        <n v="4.093150684931507"/>
        <n v="4.243835616438356"/>
        <n v="4.413698630136986"/>
        <n v="5.52054794520548"/>
        <n v="5.6876712328767125"/>
        <n v="3.671232876712329"/>
        <n v="3.841095890410959"/>
        <n v="4.947945205479452"/>
        <n v="5.115068493150685"/>
        <n v="4.821917808219178"/>
        <n v="4.989041095890411"/>
        <n v="5.301369863013699"/>
        <n v="5.468493150684932"/>
        <n v="5.8054794520547945"/>
        <n v="5.972602739726027"/>
        <n v="3.9972602739726026"/>
        <n v="4.164383561643835"/>
        <n v="4.517808219178082"/>
        <n v="4.684931506849315"/>
        <n v="4.364383561643836"/>
        <n v="4.531506849315068"/>
        <n v="3.9424657534246577"/>
        <n v="4.109589041095891"/>
        <n v="4.723287671232876"/>
        <n v="4.890410958904109"/>
        <n v="4.93972602739726"/>
        <n v="5.1068493150684935"/>
        <n v="4.6438356164383565"/>
        <n v="4.791780821917809"/>
        <n v="4.813698630136987"/>
        <n v="4.958904109589041"/>
        <n v="4.523287671232877"/>
        <n v="4.69041095890411"/>
        <n v="5.550684931506849"/>
        <n v="5.717808219178083"/>
        <n v="5.016438356164383"/>
        <n v="5.183561643835616"/>
        <n v="3.83013698630137"/>
        <n v="4.101369863013699"/>
        <n v="4.263013698630137"/>
        <n v="4.1287671232876715"/>
        <n v="4.2904109589041095"/>
        <n v="5.158904109589041"/>
        <n v="5.32054794520548"/>
        <n v="5.252054794520548"/>
        <n v="5.421917808219178"/>
        <n v="4.241095890410959"/>
        <n v="4.410958904109589"/>
        <n v="4.254794520547946"/>
        <n v="5.512328767123288"/>
        <n v="5.67945205479452"/>
        <n v="4.282191780821917"/>
        <n v="4.4520547945205475"/>
        <n v="5.734246575342466"/>
        <n v="5.901369863013699"/>
        <n v="4.868493150684931"/>
        <n v="5.035616438356165"/>
        <n v="5.049315068493151"/>
        <n v="5.2164383561643834"/>
        <n v="4.852054794520548"/>
        <n v="5.019178082191781"/>
        <n v="4.446575342465754"/>
        <n v="4.6136986301369864"/>
        <n v="5.16986301369863"/>
        <n v="5.331506849315068"/>
        <n v="3.589041095890411"/>
        <n v="3.756164383561644"/>
        <n v="3.915068493150685"/>
        <n v="4.082191780821918"/>
        <n v="4.008219178082192"/>
        <n v="5.005479452054795"/>
        <n v="5.1726027397260275"/>
        <n v="4.863013698630137"/>
        <n v="5.03013698630137"/>
        <n v="3.7835616438356166"/>
        <n v="3.9506849315068493"/>
        <n v="5.063013698630137"/>
        <n v="5.2246575342465755"/>
        <n v="4.8931506849315065"/>
        <n v="5.06027397260274"/>
        <n v="5.254794520547946"/>
        <n v="5.424657534246576"/>
        <n v="5.410958904109589"/>
        <n v="5.578082191780822"/>
        <n v="4.854794520547945"/>
        <n v="4.468493150684932"/>
        <n v="4.635616438356164"/>
        <n v="4.564383561643836"/>
        <n v="4.7315068493150685"/>
        <n v="3.8794520547945206"/>
        <n v="4.046575342465753"/>
        <n v="4.016438356164383"/>
        <n v="4.183561643835616"/>
        <n v="4.038356164383561"/>
        <n v="4.205479452054795"/>
        <n v="4.66027397260274"/>
        <n v="4.83013698630137"/>
        <n v="3.7013698630136984"/>
        <n v="3.871232876712329"/>
        <n v="4.994520547945205"/>
        <n v="5.161643835616438"/>
        <n v="4.991780821917808"/>
        <n v="5.175342465753425"/>
        <n v="5.336986301369863"/>
        <n v="3.797260273972603"/>
        <n v="3.9643835616438357"/>
        <n v="5.271232876712329"/>
        <n v="5.441095890410959"/>
        <n v="4.698630136986301"/>
        <n v="5.3561643835616435"/>
        <n v="5.523287671232877"/>
        <n v="5.397260273972603"/>
        <n v="5.564383561643836"/>
        <n v="4.257534246575342"/>
        <n v="4.427397260273972"/>
        <n v="5.197260273972603"/>
        <n v="5.358904109589041"/>
        <n v="4.191780821917808"/>
        <n v="4.353424657534247"/>
        <n v="3.9342465753424656"/>
        <n v="4.13972602739726"/>
        <n v="4.301369863013699"/>
        <n v="4.873972602739726"/>
        <n v="5.041095890410959"/>
        <n v="4.586301369863014"/>
        <n v="4.7534246575342465"/>
        <n v="4.712328767123288"/>
        <n v="4.882191780821918"/>
        <n v="4.884931506849315"/>
        <n v="5.052054794520548"/>
        <n v="3.9287671232876713"/>
        <n v="4.095890410958904"/>
        <n v="5.5917808219178085"/>
        <n v="3.558904109589041"/>
        <n v="3.7260273972602738"/>
        <n v="5.416438356164384"/>
        <n v="3.9917808219178084"/>
        <n v="5.583561643835616"/>
        <n v="4.158904109589041"/>
        <n v="4.695890410958904"/>
        <n v="4.865753424657535"/>
        <n v="4.249315068493151"/>
        <n v="4.419178082191781"/>
        <n v="3.0547945205479454"/>
        <n v="3.219178082191781"/>
        <n v="5.684931506849315"/>
        <n v="5.517808219178082"/>
        <n v="5.635616438356164"/>
        <n v="4.682191780821918"/>
        <n v="5.865753424657535"/>
        <n v="6.032876712328767"/>
        <n v="5.750684931506849"/>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85" sheet="StaffData"/>
  </cacheSource>
  <cacheFields>
    <cacheField name="Name" numFmtId="0">
      <sharedItems>
        <s v="Gretchen Callow"/>
        <s v="Shubhra Potla"/>
        <s v="Niall Selesnick"/>
        <s v="Suchira Bhanupriya Tapti"/>
        <s v="Bili Sizey"/>
        <s v="Waheeda Vasuman"/>
        <s v="Orton Livick"/>
        <s v="Akbar Sorabhjee"/>
        <s v="Archibald Filliskirk"/>
        <s v="Shobhana Samuel"/>
        <s v="Crissie Cordel"/>
        <s v="Prerana Nishita"/>
        <s v="Dotty Strutley"/>
        <s v="Jagajeet Viraj"/>
        <s v="Drusy MacCombe"/>
        <s v="Rupak Mehra"/>
        <s v="Kassi Jonson"/>
        <s v="Yagna Sujeev"/>
        <s v="Florinda Crace"/>
        <s v="Madhavdas Buhpathi"/>
        <s v="Dell Molloy"/>
        <s v="Shiuli Sapna"/>
        <s v="Jan Morforth"/>
        <s v="Ardhendu Abhichandra Jayakar"/>
        <s v="Erin Androsik"/>
        <s v="Piyali Mahanthapa"/>
        <s v="Gunar Cockshoot"/>
        <s v="Amal Nimesh"/>
        <s v="Esmaria Denecamp"/>
        <s v="Vanmala Shriharsha"/>
        <s v="Violante Courtonne"/>
        <s v="Daruka Ghazali"/>
        <s v="Kaye Crocroft"/>
        <s v="Gumwant Veera"/>
        <s v="Tatum Hush"/>
        <s v="Anumati Shyamari Meherhomji"/>
        <s v="Hoyt D'Alesco"/>
        <s v="Zach Polon"/>
        <s v="Geena Raghavanpillai"/>
        <s v="Chitrasen Laul"/>
        <s v="William Reeveley"/>
        <s v="Pragya Nilufar"/>
        <s v="Alta Kaszper"/>
        <s v="Sanchali Shirish"/>
        <s v="Oran Buxcy"/>
        <s v="Mirium Seemantini Shivakumar"/>
        <s v="Kelci Walkden"/>
        <s v="Shattesh Utpat"/>
        <s v="Brien Boise"/>
        <s v="Pratigya Rema"/>
        <s v="Oby Sorrel"/>
        <s v="Krittika Gaekwad"/>
        <s v="Lilyan Klimpt"/>
        <s v="Vinanti Choudhari"/>
        <s v="My Hanscome"/>
        <s v="Asija Pothireddy"/>
        <s v="Jehu Rudeforth"/>
        <s v="Lalit Kothari"/>
        <s v="Mallorie Waber"/>
        <s v="Mardav Ramaswami"/>
        <s v="Vic Radolf"/>
        <s v="Fullara Sushanti Mokate"/>
        <s v="Curtice Advani"/>
        <s v="Upendra Swati"/>
        <s v="Teressa Udden"/>
        <s v="Kevalkumar Solanki"/>
        <s v="Kath Bletsoe"/>
        <s v="Abhaya Priyavardhan"/>
        <s v="Marney O'Breen"/>
        <s v="Agrata Rajarama"/>
        <s v="Husein Augar"/>
        <s v="Kantimoy Pritish"/>
        <s v="Ebonee Roxburgh"/>
        <s v="Mahindra Sreedharan"/>
        <s v="Hyacinthie Braybrooke"/>
        <s v="Devasree Fullara Saurin"/>
        <s v="Murry Dryburgh"/>
        <s v="Jaishree Atasi Yavatkar"/>
        <s v="Andria Kimpton"/>
        <s v="Rameshwari Chikodi"/>
        <s v="Myer McCory"/>
        <s v="Shekhar Eswara"/>
        <s v="Shayne Stegel"/>
        <s v="Chandana Sannidhi Surnilla"/>
        <s v="Ambros Murthwaite"/>
        <s v="Ranajay Kailashnath Richa"/>
        <s v="Bennie Pepis"/>
        <s v="Kulbhushan Moorthy"/>
        <s v="Gigi Bohling"/>
        <s v="Yauvani Tarpa"/>
        <s v="Barr Faughny"/>
        <s v="Nanak Sapna"/>
        <s v="Elia Cockton"/>
        <s v="Hemavati Muthiah"/>
        <s v="Camilla Castle"/>
        <s v="Ayog Chakrabarti"/>
        <s v="Shari McNee"/>
        <s v="Sameer Shashank Sapra"/>
        <s v="Beverie Moffet"/>
        <s v="Indu Varada Sumedh"/>
        <s v="Virginia McConville"/>
        <s v="Shreela Ramasubraman"/>
        <s v="Allene Gobbet"/>
        <s v="Rushil Kripa"/>
        <s v="Gray Seamon"/>
        <s v="Shulabh Qutub Sundaramoorthy"/>
        <s v="Kellsie Waby"/>
        <s v="Udyan Lanka"/>
        <s v="Van Tuxwell"/>
        <s v="Bhuvan Pals"/>
        <s v="Agnes Collicott"/>
        <s v="Kunja Prashanta Vibha"/>
        <s v="Karlen McCaffrey"/>
        <s v="Tarala Vishaal"/>
        <s v="Sibyl Dunkirk"/>
        <s v="Madhumati Gazala Soumitra"/>
        <s v="Merrilee Plenty"/>
        <s v="Godavari Veena"/>
        <s v="Ches Bonnell"/>
        <s v="Gangadutt Ragha"/>
        <s v="Dennison Crosswaite"/>
        <s v="Karuna Pashupathy"/>
        <s v="Madge McCloughen"/>
        <s v="Rukma Vinita"/>
        <s v="Enoch Dowrey"/>
        <s v="Kamalakshi Mukundan"/>
        <s v="Leilah Yesinin"/>
        <s v="Deepit Ranjana"/>
        <s v="Hinda Label"/>
        <s v="Purnendu Vijayarangan"/>
        <s v="Torrance Collier"/>
        <s v="Sukhdev Nageshwar"/>
        <s v="Constantino Espley"/>
        <s v="Mithil Nadkarni"/>
        <s v="Simon Kembery"/>
        <s v="Baruna Ogale"/>
        <s v="Bernie Gorges"/>
        <s v="Vasu Nandin"/>
        <s v="Collin Jagson"/>
        <s v="Amlankusum Rajabhushan"/>
        <s v="Dyna Doucette"/>
        <s v="Satyendra Venkatadri"/>
        <s v="Cherlyn Barter"/>
        <s v="Sartaj Probal"/>
        <s v="Caro Chappel"/>
        <s v="Manjusri Ruchi"/>
        <s v="Janene Hairsine"/>
        <s v="Shevantilal Muppala"/>
        <s v="Kissiah Maydway"/>
        <s v="Sahas Sanabhi Shrikant"/>
        <s v="Kaine Padly"/>
        <s v="Hridaynath Tendulkar"/>
        <s v="Rafaelita Blaksland"/>
        <s v="Sawini Chandan"/>
        <s v="Madelene Upcott"/>
        <s v="Damayanti Thangavadivelu"/>
        <s v="Bev Lashley"/>
        <s v="Narois Motiwala"/>
        <s v="Halimeda Kuscha"/>
        <s v="Makshi Vinutha"/>
        <s v="Mollie Hanway"/>
        <s v="Deepali Charan"/>
        <s v="Bandhula Sathyanna"/>
        <s v="Lindy Guillet"/>
        <s v="Krishnakanta Vellanki"/>
        <s v="Mahalia Larcher"/>
        <s v="Ilesh Dasgupta"/>
        <s v="Hogan Iles"/>
        <s v="Sarojini Naueshwara"/>
        <s v="Wilone O'Kielt"/>
        <s v="Ramnath Ravuri"/>
        <s v="Tracy Renad"/>
        <s v="Dhruv Manjunath"/>
        <s v="Benny Karolovsky"/>
        <s v="Sahila Chandrasekhar"/>
        <s v="Roddy Speechley"/>
        <s v="Sarayu Ragunathan"/>
        <s v="Valentia Etteridge"/>
        <s v="Kaishori Harathi Kateel"/>
        <s v="Tawnya Tickel"/>
        <s v="Heer Pennathur"/>
        <s v="Ewart Laphorn"/>
        <s v="Anjushri Chandiramani"/>
      </sharedItems>
    </cacheField>
    <cacheField name="Gender" numFmtId="0">
      <sharedItems>
        <s v="Female"/>
        <s v="Male"/>
        <s v="Other"/>
      </sharedItems>
    </cacheField>
    <cacheField name="Department" numFmtId="0">
      <sharedItems>
        <s v="Website"/>
        <s v="Sales"/>
        <s v="Procurement"/>
        <s v="HR"/>
        <s v="Finance"/>
      </sharedItems>
    </cacheField>
    <cacheField name="Age" numFmtId="0">
      <sharedItems containsSemiMixedTypes="0" containsString="0" containsNumber="1" containsInteger="1">
        <n v="21.0"/>
        <n v="29.0"/>
        <n v="43.0"/>
        <n v="35.0"/>
        <n v="32.0"/>
        <n v="31.0"/>
        <n v="28.0"/>
        <n v="26.0"/>
        <n v="33.0"/>
        <n v="27.0"/>
        <n v="34.0"/>
        <n v="24.0"/>
        <n v="38.0"/>
        <n v="19.0"/>
        <n v="30.0"/>
        <n v="25.0"/>
        <n v="20.0"/>
        <n v="37.0"/>
        <n v="42.0"/>
        <n v="46.0"/>
        <n v="36.0"/>
        <n v="22.0"/>
        <n v="40.0"/>
        <n v="23.0"/>
        <n v="44.0"/>
      </sharedItems>
    </cacheField>
    <cacheField name="Date Joined" numFmtId="164">
      <sharedItems containsSemiMixedTypes="0" containsDate="1" containsString="0">
        <d v="2022-04-27T00:00:00Z"/>
        <d v="2022-02-27T00:00:00Z"/>
        <d v="2020-07-11T00:00:00Z"/>
        <d v="2020-05-11T00:00:00Z"/>
        <d v="2022-02-28T00:00:00Z"/>
        <d v="2021-12-28T00:00:00Z"/>
        <d v="2020-09-30T00:00:00Z"/>
        <d v="2020-07-30T00:00:00Z"/>
        <d v="2022-06-15T00:00:00Z"/>
        <d v="2022-04-15T00:00:00Z"/>
        <d v="2022-02-19T00:00:00Z"/>
        <d v="2021-12-19T00:00:00Z"/>
        <d v="2020-11-10T00:00:00Z"/>
        <d v="2020-09-10T00:00:00Z"/>
        <d v="2022-09-16T00:00:00Z"/>
        <d v="2022-07-16T00:00:00Z"/>
        <d v="2021-06-07T00:00:00Z"/>
        <d v="2021-04-07T00:00:00Z"/>
        <d v="2021-07-23T00:00:00Z"/>
        <d v="2021-05-23T00:00:00Z"/>
        <d v="2021-01-29T00:00:00Z"/>
        <d v="2020-11-29T00:00:00Z"/>
        <d v="2020-07-29T00:00:00Z"/>
        <d v="2020-05-29T00:00:00Z"/>
        <d v="2022-05-20T00:00:00Z"/>
        <d v="2022-03-20T00:00:00Z"/>
        <d v="2021-11-11T00:00:00Z"/>
        <d v="2021-09-11T00:00:00Z"/>
        <d v="2022-01-06T00:00:00Z"/>
        <d v="2021-11-06T00:00:00Z"/>
        <d v="2022-06-09T00:00:00Z"/>
        <d v="2022-04-09T00:00:00Z"/>
        <d v="2021-08-28T00:00:00Z"/>
        <d v="2021-06-28T00:00:00Z"/>
        <d v="2021-06-10T00:00:00Z"/>
        <d v="2021-04-10T00:00:00Z"/>
        <d v="2021-09-26T00:00:00Z"/>
        <d v="2021-08-03T00:00:00Z"/>
        <d v="2021-07-26T00:00:00Z"/>
        <d v="2021-06-03T00:00:00Z"/>
        <d v="2021-11-09T00:00:00Z"/>
        <d v="2021-09-09T00:00:00Z"/>
        <d v="2020-10-30T00:00:00Z"/>
        <d v="2020-08-30T00:00:00Z"/>
        <d v="2021-05-13T00:00:00Z"/>
        <d v="2021-03-13T00:00:00Z"/>
        <d v="2022-07-20T00:00:00Z"/>
        <d v="2022-04-12T00:00:00Z"/>
        <d v="2022-02-12T00:00:00Z"/>
        <d v="2022-04-02T00:00:00Z"/>
        <d v="2022-02-02T00:00:00Z"/>
        <d v="2021-03-22T00:00:00Z"/>
        <d v="2021-01-22T00:00:00Z"/>
        <d v="2021-02-16T00:00:00Z"/>
        <d v="2020-12-16T00:00:00Z"/>
        <d v="2022-02-20T00:00:00Z"/>
        <d v="2021-12-20T00:00:00Z"/>
        <d v="2022-02-15T00:00:00Z"/>
        <d v="2020-11-13T00:00:00Z"/>
        <d v="2020-09-13T00:00:00Z"/>
        <d v="2022-02-05T00:00:00Z"/>
        <d v="2021-12-05T00:00:00Z"/>
        <d v="2020-08-24T00:00:00Z"/>
        <d v="2020-06-24T00:00:00Z"/>
        <d v="2021-07-06T00:00:00Z"/>
        <d v="2021-05-06T00:00:00Z"/>
        <d v="2021-05-01T00:00:00Z"/>
        <d v="2021-03-01T00:00:00Z"/>
        <d v="2021-07-12T00:00:00Z"/>
        <d v="2021-05-12T00:00:00Z"/>
        <d v="2021-12-07T00:00:00Z"/>
        <d v="2021-10-07T00:00:00Z"/>
        <d v="2021-03-18T00:00:00Z"/>
        <d v="2021-01-18T00:00:00Z"/>
        <d v="2022-10-16T00:00:00Z"/>
        <d v="2022-08-16T00:00:00Z"/>
        <d v="2022-06-19T00:00:00Z"/>
        <d v="2022-04-19T00:00:00Z"/>
        <d v="2022-05-16T00:00:00Z"/>
        <d v="2021-05-17T00:00:00Z"/>
        <d v="2021-03-17T00:00:00Z"/>
        <d v="2021-07-08T00:00:00Z"/>
        <d v="2021-05-08T00:00:00Z"/>
        <d v="2022-08-06T00:00:00Z"/>
        <d v="2022-06-06T00:00:00Z"/>
        <d v="2021-04-26T00:00:00Z"/>
        <d v="2021-02-26T00:00:00Z"/>
        <d v="2021-06-27T00:00:00Z"/>
        <d v="2021-04-27T00:00:00Z"/>
        <d v="2021-02-15T00:00:00Z"/>
        <d v="2020-12-15T00:00:00Z"/>
        <d v="2020-12-20T00:00:00Z"/>
        <d v="2020-10-20T00:00:00Z"/>
        <d v="2021-07-11T00:00:00Z"/>
        <d v="2021-11-29T00:00:00Z"/>
        <d v="2021-09-29T00:00:00Z"/>
        <d v="2021-10-25T00:00:00Z"/>
        <d v="2021-08-25T00:00:00Z"/>
        <d v="2022-07-02T00:00:00Z"/>
        <d v="2022-05-02T00:00:00Z"/>
        <d v="2022-05-13T00:00:00Z"/>
        <d v="2022-03-13T00:00:00Z"/>
        <d v="2022-05-05T00:00:00Z"/>
        <d v="2022-03-05T00:00:00Z"/>
        <d v="2021-09-20T00:00:00Z"/>
        <d v="2021-07-20T00:00:00Z"/>
        <d v="2022-09-05T00:00:00Z"/>
        <d v="2022-07-05T00:00:00Z"/>
        <d v="2021-05-21T00:00:00Z"/>
        <d v="2021-03-21T00:00:00Z"/>
        <d v="2021-05-22T00:00:00Z"/>
        <d v="2021-03-16T00:00:00Z"/>
        <d v="2021-01-16T00:00:00Z"/>
        <d v="2022-08-01T00:00:00Z"/>
        <d v="2022-06-01T00:00:00Z"/>
        <d v="2021-02-09T00:00:00Z"/>
        <d v="2020-12-09T00:00:00Z"/>
        <d v="2021-09-06T00:00:00Z"/>
        <d v="2021-01-09T00:00:00Z"/>
        <d v="2020-11-09T00:00:00Z"/>
        <d v="2020-12-25T00:00:00Z"/>
        <d v="2020-10-25T00:00:00Z"/>
        <d v="2022-02-14T00:00:00Z"/>
        <d v="2021-12-14T00:00:00Z"/>
        <d v="2021-03-08T00:00:00Z"/>
        <d v="2021-01-08T00:00:00Z"/>
        <d v="2022-03-10T00:00:00Z"/>
        <d v="2022-01-10T00:00:00Z"/>
        <d v="2022-06-12T00:00:00Z"/>
        <d v="2022-03-29T00:00:00Z"/>
        <d v="2022-01-29T00:00:00Z"/>
        <d v="2021-07-04T00:00:00Z"/>
        <d v="2021-05-04T00:00:00Z"/>
        <d v="2021-10-17T00:00:00Z"/>
        <d v="2021-08-17T00:00:00Z"/>
        <d v="2021-09-01T00:00:00Z"/>
        <d v="2021-07-01T00:00:00Z"/>
        <d v="2021-06-30T00:00:00Z"/>
        <d v="2021-04-30T00:00:00Z"/>
        <d v="2022-06-14T00:00:00Z"/>
        <d v="2022-04-14T00:00:00Z"/>
        <d v="2020-10-15T00:00:00Z"/>
        <d v="2022-10-27T00:00:00Z"/>
        <d v="2022-08-27T00:00:00Z"/>
        <d v="2020-12-18T00:00:00Z"/>
        <d v="2022-05-22T00:00:00Z"/>
        <d v="2020-10-18T00:00:00Z"/>
        <d v="2022-03-22T00:00:00Z"/>
        <d v="2021-09-07T00:00:00Z"/>
        <d v="2021-07-07T00:00:00Z"/>
        <d v="2022-02-17T00:00:00Z"/>
        <d v="2021-12-17T00:00:00Z"/>
        <d v="2023-04-29T00:00:00Z"/>
        <d v="2023-02-28T00:00:00Z"/>
        <d v="2020-09-11T00:00:00Z"/>
        <d v="2020-11-11T00:00:00Z"/>
        <d v="2020-09-29T00:00:00Z"/>
        <d v="2021-09-12T00:00:00Z"/>
        <d v="2020-07-07T00:00:00Z"/>
        <d v="2020-05-07T00:00:00Z"/>
        <d v="2020-08-18T00:00:00Z"/>
      </sharedItems>
    </cacheField>
    <cacheField name="Salary" numFmtId="168">
      <sharedItems containsSemiMixedTypes="0" containsString="0" containsNumber="1" containsInteger="1">
        <n v="33920.0"/>
        <n v="34980.0"/>
        <n v="36040.0"/>
        <n v="37920.0"/>
        <n v="40400.0"/>
        <n v="41570.0"/>
        <n v="41980.0"/>
        <n v="43510.0"/>
        <n v="43840.0"/>
        <n v="45510.0"/>
        <n v="47360.0"/>
        <n v="48170.0"/>
        <n v="48530.0"/>
        <n v="48950.0"/>
        <n v="48980.0"/>
        <n v="49630.0"/>
        <n v="52610.0"/>
        <n v="53240.0"/>
        <n v="53540.0"/>
        <n v="53870.0"/>
        <n v="54970.0"/>
        <n v="56870.0"/>
        <n v="57090.0"/>
        <n v="58100.0"/>
        <n v="58940.0"/>
        <n v="58960.0"/>
        <n v="59430.0"/>
        <n v="60130.0"/>
        <n v="60570.0"/>
        <n v="62780.0"/>
        <n v="64000.0"/>
        <n v="65360.0"/>
        <n v="65700.0"/>
        <n v="65920.0"/>
        <n v="67910.0"/>
        <n v="67950.0"/>
        <n v="68900.0"/>
        <n v="69070.0"/>
        <n v="69120.0"/>
        <n v="69710.0"/>
        <n v="70270.0"/>
        <n v="70610.0"/>
        <n v="71380.0"/>
        <n v="74550.0"/>
        <n v="75000.0"/>
        <n v="75280.0"/>
        <n v="75480.0"/>
        <n v="75880.0"/>
        <n v="75970.0"/>
        <n v="76900.0"/>
        <n v="78390.0"/>
        <n v="78540.0"/>
        <n v="79570.0"/>
        <n v="80700.0"/>
        <n v="83750.0"/>
        <n v="85000.0"/>
        <n v="86570.0"/>
        <n v="87620.0"/>
        <n v="88050.0"/>
        <n v="90700.0"/>
        <n v="91310.0"/>
        <n v="91650.0"/>
        <n v="92450.0"/>
        <n v="92700.0"/>
        <n v="96140.0"/>
        <n v="96800.0"/>
        <n v="99750.0"/>
        <n v="99970.0"/>
        <n v="100420.0"/>
        <n v="103550.0"/>
        <n v="104120.0"/>
        <n v="104410.0"/>
        <n v="104770.0"/>
        <n v="106460.0"/>
        <n v="107700.0"/>
        <n v="109160.0"/>
        <n v="109190.0"/>
        <n v="112110.0"/>
        <n v="112570.0"/>
        <n v="112650.0"/>
        <n v="112780.0"/>
        <n v="113280.0"/>
        <n v="114180.0"/>
        <n v="114870.0"/>
        <n v="114890.0"/>
        <n v="115440.0"/>
        <n v="115920.0"/>
        <n v="118100.0"/>
        <n v="118840.0"/>
        <n v="119110.0"/>
      </sharedItems>
    </cacheField>
    <cacheField name="Rating" numFmtId="0">
      <sharedItems>
        <s v="Average"/>
        <s v="Very poor"/>
        <s v="Above average"/>
        <s v="Poor"/>
        <s v="Exceptional"/>
      </sharedItems>
    </cacheField>
    <cacheField name="Country" numFmtId="0">
      <sharedItems>
        <s v="IND"/>
        <s v="NZ"/>
      </sharedItems>
    </cacheField>
    <cacheField name="Tenure" numFmtId="4">
      <sharedItems containsSemiMixedTypes="0" containsString="0" containsNumber="1">
        <n v="4.06027397260274"/>
        <n v="4.221917808219178"/>
        <n v="5.854794520547945"/>
        <n v="6.021917808219178"/>
        <n v="4.219178082191781"/>
        <n v="4.389041095890411"/>
        <n v="5.632876712328767"/>
        <n v="5.802739726027397"/>
        <n v="3.926027397260274"/>
        <n v="4.093150684931507"/>
        <n v="4.243835616438356"/>
        <n v="4.413698630136986"/>
        <n v="5.52054794520548"/>
        <n v="5.6876712328767125"/>
        <n v="3.671232876712329"/>
        <n v="3.841095890410959"/>
        <n v="4.947945205479452"/>
        <n v="5.115068493150685"/>
        <n v="4.821917808219178"/>
        <n v="4.989041095890411"/>
        <n v="5.301369863013699"/>
        <n v="5.468493150684932"/>
        <n v="5.8054794520547945"/>
        <n v="5.972602739726027"/>
        <n v="3.9972602739726026"/>
        <n v="4.164383561643835"/>
        <n v="4.517808219178082"/>
        <n v="4.684931506849315"/>
        <n v="4.364383561643836"/>
        <n v="4.531506849315068"/>
        <n v="3.9424657534246577"/>
        <n v="4.109589041095891"/>
        <n v="4.723287671232876"/>
        <n v="4.890410958904109"/>
        <n v="4.93972602739726"/>
        <n v="5.1068493150684935"/>
        <n v="4.6438356164383565"/>
        <n v="4.791780821917809"/>
        <n v="4.813698630136987"/>
        <n v="4.958904109589041"/>
        <n v="4.523287671232877"/>
        <n v="4.69041095890411"/>
        <n v="5.550684931506849"/>
        <n v="5.717808219178083"/>
        <n v="5.016438356164383"/>
        <n v="5.183561643835616"/>
        <n v="3.83013698630137"/>
        <n v="4.101369863013699"/>
        <n v="4.263013698630137"/>
        <n v="4.1287671232876715"/>
        <n v="4.2904109589041095"/>
        <n v="5.158904109589041"/>
        <n v="5.32054794520548"/>
        <n v="5.252054794520548"/>
        <n v="5.421917808219178"/>
        <n v="4.241095890410959"/>
        <n v="4.410958904109589"/>
        <n v="4.254794520547946"/>
        <n v="5.512328767123288"/>
        <n v="5.67945205479452"/>
        <n v="4.282191780821917"/>
        <n v="4.4520547945205475"/>
        <n v="5.734246575342466"/>
        <n v="5.901369863013699"/>
        <n v="4.868493150684931"/>
        <n v="5.035616438356165"/>
        <n v="5.049315068493151"/>
        <n v="5.2164383561643834"/>
        <n v="4.852054794520548"/>
        <n v="5.019178082191781"/>
        <n v="4.446575342465754"/>
        <n v="4.6136986301369864"/>
        <n v="5.16986301369863"/>
        <n v="5.331506849315068"/>
        <n v="3.589041095890411"/>
        <n v="3.756164383561644"/>
        <n v="3.915068493150685"/>
        <n v="4.082191780821918"/>
        <n v="4.008219178082192"/>
        <n v="5.005479452054795"/>
        <n v="5.1726027397260275"/>
        <n v="4.863013698630137"/>
        <n v="5.03013698630137"/>
        <n v="3.7835616438356166"/>
        <n v="3.9506849315068493"/>
        <n v="5.063013698630137"/>
        <n v="5.2246575342465755"/>
        <n v="4.8931506849315065"/>
        <n v="5.06027397260274"/>
        <n v="5.254794520547946"/>
        <n v="5.424657534246576"/>
        <n v="5.410958904109589"/>
        <n v="5.578082191780822"/>
        <n v="4.854794520547945"/>
        <n v="4.468493150684932"/>
        <n v="4.635616438356164"/>
        <n v="4.564383561643836"/>
        <n v="4.7315068493150685"/>
        <n v="3.8794520547945206"/>
        <n v="4.046575342465753"/>
        <n v="4.016438356164383"/>
        <n v="4.183561643835616"/>
        <n v="4.038356164383561"/>
        <n v="4.205479452054795"/>
        <n v="4.66027397260274"/>
        <n v="4.83013698630137"/>
        <n v="3.7013698630136984"/>
        <n v="3.871232876712329"/>
        <n v="4.994520547945205"/>
        <n v="5.161643835616438"/>
        <n v="4.991780821917808"/>
        <n v="5.175342465753425"/>
        <n v="5.336986301369863"/>
        <n v="3.797260273972603"/>
        <n v="3.9643835616438357"/>
        <n v="5.271232876712329"/>
        <n v="5.441095890410959"/>
        <n v="4.698630136986301"/>
        <n v="5.3561643835616435"/>
        <n v="5.523287671232877"/>
        <n v="5.397260273972603"/>
        <n v="5.564383561643836"/>
        <n v="4.257534246575342"/>
        <n v="4.427397260273972"/>
        <n v="5.197260273972603"/>
        <n v="5.358904109589041"/>
        <n v="4.191780821917808"/>
        <n v="4.353424657534247"/>
        <n v="3.9342465753424656"/>
        <n v="4.13972602739726"/>
        <n v="4.301369863013699"/>
        <n v="4.873972602739726"/>
        <n v="5.041095890410959"/>
        <n v="4.586301369863014"/>
        <n v="4.7534246575342465"/>
        <n v="4.712328767123288"/>
        <n v="4.882191780821918"/>
        <n v="4.884931506849315"/>
        <n v="5.052054794520548"/>
        <n v="3.9287671232876713"/>
        <n v="4.095890410958904"/>
        <n v="5.5917808219178085"/>
        <n v="3.558904109589041"/>
        <n v="3.7260273972602738"/>
        <n v="5.416438356164384"/>
        <n v="3.9917808219178084"/>
        <n v="5.583561643835616"/>
        <n v="4.158904109589041"/>
        <n v="4.695890410958904"/>
        <n v="4.865753424657535"/>
        <n v="4.249315068493151"/>
        <n v="4.419178082191781"/>
        <n v="3.0547945205479454"/>
        <n v="3.219178082191781"/>
        <n v="5.684931506849315"/>
        <n v="5.517808219178082"/>
        <n v="5.635616438356164"/>
        <n v="4.682191780821918"/>
        <n v="5.865753424657535"/>
        <n v="6.032876712328767"/>
        <n v="5.750684931506849"/>
      </sharedItems>
    </cacheField>
    <cacheField name="Bonus" numFmtId="167">
      <sharedItems containsSemiMixedTypes="0" containsString="0" containsNumber="1" containsInteger="1">
        <n v="1018.0"/>
        <n v="1050.0"/>
        <n v="1082.0"/>
        <n v="1138.0"/>
        <n v="808.0"/>
        <n v="1212.0"/>
        <n v="1248.0"/>
        <n v="1260.0"/>
        <n v="871.0"/>
        <n v="1316.0"/>
        <n v="1366.0"/>
        <n v="1421.0"/>
        <n v="1446.0"/>
        <n v="971.0"/>
        <n v="1456.0"/>
        <n v="1469.0"/>
        <n v="1470.0"/>
        <n v="993.0"/>
        <n v="1489.0"/>
        <n v="1579.0"/>
        <n v="1598.0"/>
        <n v="1607.0"/>
        <n v="1617.0"/>
        <n v="1650.0"/>
        <n v="1707.0"/>
        <n v="1142.0"/>
        <n v="1743.0"/>
        <n v="1769.0"/>
        <n v="1783.0"/>
        <n v="1804.0"/>
        <n v="1818.0"/>
        <n v="1884.0"/>
        <n v="1920.0"/>
        <n v="1961.0"/>
        <n v="1971.0"/>
        <n v="1978.0"/>
        <n v="2038.0"/>
        <n v="1359.0"/>
        <n v="2039.0"/>
        <n v="2067.0"/>
        <n v="1382.0"/>
        <n v="2073.0"/>
        <n v="2074.0"/>
        <n v="1395.0"/>
        <n v="1406.0"/>
        <n v="2109.0"/>
        <n v="1413.0"/>
        <n v="2119.0"/>
        <n v="2142.0"/>
        <n v="2237.0"/>
        <n v="1500.0"/>
        <n v="2259.0"/>
        <n v="2265.0"/>
        <n v="2277.0"/>
        <n v="2280.0"/>
        <n v="2307.0"/>
        <n v="2352.0"/>
        <n v="2357.0"/>
        <n v="1592.0"/>
        <n v="2388.0"/>
        <n v="2421.0"/>
        <n v="2513.0"/>
        <n v="2550.0"/>
        <n v="1732.0"/>
        <n v="2629.0"/>
        <n v="2642.0"/>
        <n v="2721.0"/>
        <n v="1827.0"/>
        <n v="2750.0"/>
        <n v="2774.0"/>
        <n v="2781.0"/>
        <n v="2885.0"/>
        <n v="2904.0"/>
        <n v="2993.0"/>
        <n v="3000.0"/>
        <n v="3013.0"/>
        <n v="2071.0"/>
        <n v="3107.0"/>
        <n v="3124.0"/>
        <n v="3133.0"/>
        <n v="3144.0"/>
        <n v="3194.0"/>
        <n v="3231.0"/>
        <n v="3275.0"/>
        <n v="2184.0"/>
        <n v="3276.0"/>
        <n v="3364.0"/>
        <n v="2252.0"/>
        <n v="3380.0"/>
        <n v="2253.0"/>
        <n v="3384.0"/>
        <n v="3399.0"/>
        <n v="2284.0"/>
        <n v="2298.0"/>
        <n v="3447.0"/>
        <n v="3464.0"/>
        <n v="3478.0"/>
        <n v="3543.0"/>
        <n v="3566.0"/>
        <n v="3574.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85" sheet="StaffData"/>
  </cacheSource>
  <cacheFields>
    <cacheField name="Name" numFmtId="0">
      <sharedItems>
        <s v="Gretchen Callow"/>
        <s v="Shubhra Potla"/>
        <s v="Niall Selesnick"/>
        <s v="Suchira Bhanupriya Tapti"/>
        <s v="Bili Sizey"/>
        <s v="Waheeda Vasuman"/>
        <s v="Orton Livick"/>
        <s v="Akbar Sorabhjee"/>
        <s v="Archibald Filliskirk"/>
        <s v="Shobhana Samuel"/>
        <s v="Crissie Cordel"/>
        <s v="Prerana Nishita"/>
        <s v="Dotty Strutley"/>
        <s v="Jagajeet Viraj"/>
        <s v="Drusy MacCombe"/>
        <s v="Rupak Mehra"/>
        <s v="Kassi Jonson"/>
        <s v="Yagna Sujeev"/>
        <s v="Florinda Crace"/>
        <s v="Madhavdas Buhpathi"/>
        <s v="Dell Molloy"/>
        <s v="Shiuli Sapna"/>
        <s v="Jan Morforth"/>
        <s v="Ardhendu Abhichandra Jayakar"/>
        <s v="Erin Androsik"/>
        <s v="Piyali Mahanthapa"/>
        <s v="Gunar Cockshoot"/>
        <s v="Amal Nimesh"/>
        <s v="Esmaria Denecamp"/>
        <s v="Vanmala Shriharsha"/>
        <s v="Violante Courtonne"/>
        <s v="Daruka Ghazali"/>
        <s v="Kaye Crocroft"/>
        <s v="Gumwant Veera"/>
        <s v="Tatum Hush"/>
        <s v="Anumati Shyamari Meherhomji"/>
        <s v="Hoyt D'Alesco"/>
        <s v="Zach Polon"/>
        <s v="Geena Raghavanpillai"/>
        <s v="Chitrasen Laul"/>
        <s v="William Reeveley"/>
        <s v="Pragya Nilufar"/>
        <s v="Alta Kaszper"/>
        <s v="Sanchali Shirish"/>
        <s v="Oran Buxcy"/>
        <s v="Mirium Seemantini Shivakumar"/>
        <s v="Kelci Walkden"/>
        <s v="Shattesh Utpat"/>
        <s v="Brien Boise"/>
        <s v="Pratigya Rema"/>
        <s v="Oby Sorrel"/>
        <s v="Krittika Gaekwad"/>
        <s v="Lilyan Klimpt"/>
        <s v="Vinanti Choudhari"/>
        <s v="My Hanscome"/>
        <s v="Asija Pothireddy"/>
        <s v="Jehu Rudeforth"/>
        <s v="Lalit Kothari"/>
        <s v="Mallorie Waber"/>
        <s v="Mardav Ramaswami"/>
        <s v="Vic Radolf"/>
        <s v="Fullara Sushanti Mokate"/>
        <s v="Curtice Advani"/>
        <s v="Upendra Swati"/>
        <s v="Teressa Udden"/>
        <s v="Kevalkumar Solanki"/>
        <s v="Kath Bletsoe"/>
        <s v="Abhaya Priyavardhan"/>
        <s v="Marney O'Breen"/>
        <s v="Agrata Rajarama"/>
        <s v="Husein Augar"/>
        <s v="Kantimoy Pritish"/>
        <s v="Ebonee Roxburgh"/>
        <s v="Mahindra Sreedharan"/>
        <s v="Hyacinthie Braybrooke"/>
        <s v="Devasree Fullara Saurin"/>
        <s v="Murry Dryburgh"/>
        <s v="Jaishree Atasi Yavatkar"/>
        <s v="Andria Kimpton"/>
        <s v="Rameshwari Chikodi"/>
        <s v="Myer McCory"/>
        <s v="Shekhar Eswara"/>
        <s v="Shayne Stegel"/>
        <s v="Chandana Sannidhi Surnilla"/>
        <s v="Ambros Murthwaite"/>
        <s v="Ranajay Kailashnath Richa"/>
        <s v="Bennie Pepis"/>
        <s v="Kulbhushan Moorthy"/>
        <s v="Gigi Bohling"/>
        <s v="Yauvani Tarpa"/>
        <s v="Barr Faughny"/>
        <s v="Nanak Sapna"/>
        <s v="Elia Cockton"/>
        <s v="Hemavati Muthiah"/>
        <s v="Camilla Castle"/>
        <s v="Ayog Chakrabarti"/>
        <s v="Shari McNee"/>
        <s v="Sameer Shashank Sapra"/>
        <s v="Beverie Moffet"/>
        <s v="Indu Varada Sumedh"/>
        <s v="Virginia McConville"/>
        <s v="Shreela Ramasubraman"/>
        <s v="Allene Gobbet"/>
        <s v="Rushil Kripa"/>
        <s v="Gray Seamon"/>
        <s v="Shulabh Qutub Sundaramoorthy"/>
        <s v="Kellsie Waby"/>
        <s v="Udyan Lanka"/>
        <s v="Van Tuxwell"/>
        <s v="Bhuvan Pals"/>
        <s v="Agnes Collicott"/>
        <s v="Kunja Prashanta Vibha"/>
        <s v="Karlen McCaffrey"/>
        <s v="Tarala Vishaal"/>
        <s v="Sibyl Dunkirk"/>
        <s v="Madhumati Gazala Soumitra"/>
        <s v="Merrilee Plenty"/>
        <s v="Godavari Veena"/>
        <s v="Ches Bonnell"/>
        <s v="Gangadutt Ragha"/>
        <s v="Dennison Crosswaite"/>
        <s v="Karuna Pashupathy"/>
        <s v="Madge McCloughen"/>
        <s v="Rukma Vinita"/>
        <s v="Enoch Dowrey"/>
        <s v="Kamalakshi Mukundan"/>
        <s v="Leilah Yesinin"/>
        <s v="Deepit Ranjana"/>
        <s v="Hinda Label"/>
        <s v="Purnendu Vijayarangan"/>
        <s v="Torrance Collier"/>
        <s v="Sukhdev Nageshwar"/>
        <s v="Constantino Espley"/>
        <s v="Mithil Nadkarni"/>
        <s v="Simon Kembery"/>
        <s v="Baruna Ogale"/>
        <s v="Bernie Gorges"/>
        <s v="Vasu Nandin"/>
        <s v="Collin Jagson"/>
        <s v="Amlankusum Rajabhushan"/>
        <s v="Dyna Doucette"/>
        <s v="Satyendra Venkatadri"/>
        <s v="Cherlyn Barter"/>
        <s v="Sartaj Probal"/>
        <s v="Caro Chappel"/>
        <s v="Manjusri Ruchi"/>
        <s v="Janene Hairsine"/>
        <s v="Shevantilal Muppala"/>
        <s v="Kissiah Maydway"/>
        <s v="Sahas Sanabhi Shrikant"/>
        <s v="Kaine Padly"/>
        <s v="Hridaynath Tendulkar"/>
        <s v="Rafaelita Blaksland"/>
        <s v="Sawini Chandan"/>
        <s v="Madelene Upcott"/>
        <s v="Damayanti Thangavadivelu"/>
        <s v="Bev Lashley"/>
        <s v="Narois Motiwala"/>
        <s v="Halimeda Kuscha"/>
        <s v="Makshi Vinutha"/>
        <s v="Mollie Hanway"/>
        <s v="Deepali Charan"/>
        <s v="Bandhula Sathyanna"/>
        <s v="Lindy Guillet"/>
        <s v="Krishnakanta Vellanki"/>
        <s v="Mahalia Larcher"/>
        <s v="Ilesh Dasgupta"/>
        <s v="Hogan Iles"/>
        <s v="Sarojini Naueshwara"/>
        <s v="Wilone O'Kielt"/>
        <s v="Ramnath Ravuri"/>
        <s v="Tracy Renad"/>
        <s v="Dhruv Manjunath"/>
        <s v="Benny Karolovsky"/>
        <s v="Sahila Chandrasekhar"/>
        <s v="Roddy Speechley"/>
        <s v="Sarayu Ragunathan"/>
        <s v="Valentia Etteridge"/>
        <s v="Kaishori Harathi Kateel"/>
        <s v="Tawnya Tickel"/>
        <s v="Heer Pennathur"/>
        <s v="Ewart Laphorn"/>
        <s v="Anjushri Chandiramani"/>
      </sharedItems>
    </cacheField>
    <cacheField name="Gender" numFmtId="0">
      <sharedItems>
        <s v="Female"/>
        <s v="Male"/>
        <s v="Other"/>
      </sharedItems>
    </cacheField>
    <cacheField name="Department" numFmtId="0">
      <sharedItems>
        <s v="Website"/>
        <s v="Sales"/>
        <s v="Procurement"/>
        <s v="HR"/>
        <s v="Finance"/>
      </sharedItems>
    </cacheField>
    <cacheField name="Age" numFmtId="0">
      <sharedItems containsSemiMixedTypes="0" containsString="0" containsNumber="1" containsInteger="1">
        <n v="21.0"/>
        <n v="29.0"/>
        <n v="43.0"/>
        <n v="35.0"/>
        <n v="32.0"/>
        <n v="31.0"/>
        <n v="28.0"/>
        <n v="26.0"/>
        <n v="33.0"/>
        <n v="27.0"/>
        <n v="34.0"/>
        <n v="24.0"/>
        <n v="38.0"/>
        <n v="19.0"/>
        <n v="30.0"/>
        <n v="25.0"/>
        <n v="20.0"/>
        <n v="37.0"/>
        <n v="42.0"/>
        <n v="46.0"/>
        <n v="36.0"/>
        <n v="22.0"/>
        <n v="40.0"/>
        <n v="23.0"/>
        <n v="44.0"/>
      </sharedItems>
    </cacheField>
    <cacheField name="Date Joined" numFmtId="164">
      <sharedItems containsSemiMixedTypes="0" containsDate="1" containsString="0">
        <d v="2022-04-27T00:00:00Z"/>
        <d v="2022-02-27T00:00:00Z"/>
        <d v="2020-07-11T00:00:00Z"/>
        <d v="2020-05-11T00:00:00Z"/>
        <d v="2022-02-28T00:00:00Z"/>
        <d v="2021-12-28T00:00:00Z"/>
        <d v="2020-09-30T00:00:00Z"/>
        <d v="2020-07-30T00:00:00Z"/>
        <d v="2022-06-15T00:00:00Z"/>
        <d v="2022-04-15T00:00:00Z"/>
        <d v="2022-02-19T00:00:00Z"/>
        <d v="2021-12-19T00:00:00Z"/>
        <d v="2020-11-10T00:00:00Z"/>
        <d v="2020-09-10T00:00:00Z"/>
        <d v="2022-09-16T00:00:00Z"/>
        <d v="2022-07-16T00:00:00Z"/>
        <d v="2021-06-07T00:00:00Z"/>
        <d v="2021-04-07T00:00:00Z"/>
        <d v="2021-07-23T00:00:00Z"/>
        <d v="2021-05-23T00:00:00Z"/>
        <d v="2021-01-29T00:00:00Z"/>
        <d v="2020-11-29T00:00:00Z"/>
        <d v="2020-07-29T00:00:00Z"/>
        <d v="2020-05-29T00:00:00Z"/>
        <d v="2022-05-20T00:00:00Z"/>
        <d v="2022-03-20T00:00:00Z"/>
        <d v="2021-11-11T00:00:00Z"/>
        <d v="2021-09-11T00:00:00Z"/>
        <d v="2022-01-06T00:00:00Z"/>
        <d v="2021-11-06T00:00:00Z"/>
        <d v="2022-06-09T00:00:00Z"/>
        <d v="2022-04-09T00:00:00Z"/>
        <d v="2021-08-28T00:00:00Z"/>
        <d v="2021-06-28T00:00:00Z"/>
        <d v="2021-06-10T00:00:00Z"/>
        <d v="2021-04-10T00:00:00Z"/>
        <d v="2021-09-26T00:00:00Z"/>
        <d v="2021-08-03T00:00:00Z"/>
        <d v="2021-07-26T00:00:00Z"/>
        <d v="2021-06-03T00:00:00Z"/>
        <d v="2021-11-09T00:00:00Z"/>
        <d v="2021-09-09T00:00:00Z"/>
        <d v="2020-10-30T00:00:00Z"/>
        <d v="2020-08-30T00:00:00Z"/>
        <d v="2021-05-13T00:00:00Z"/>
        <d v="2021-03-13T00:00:00Z"/>
        <d v="2022-07-20T00:00:00Z"/>
        <d v="2022-04-12T00:00:00Z"/>
        <d v="2022-02-12T00:00:00Z"/>
        <d v="2022-04-02T00:00:00Z"/>
        <d v="2022-02-02T00:00:00Z"/>
        <d v="2021-03-22T00:00:00Z"/>
        <d v="2021-01-22T00:00:00Z"/>
        <d v="2021-02-16T00:00:00Z"/>
        <d v="2020-12-16T00:00:00Z"/>
        <d v="2022-02-20T00:00:00Z"/>
        <d v="2021-12-20T00:00:00Z"/>
        <d v="2022-02-15T00:00:00Z"/>
        <d v="2020-11-13T00:00:00Z"/>
        <d v="2020-09-13T00:00:00Z"/>
        <d v="2022-02-05T00:00:00Z"/>
        <d v="2021-12-05T00:00:00Z"/>
        <d v="2020-08-24T00:00:00Z"/>
        <d v="2020-06-24T00:00:00Z"/>
        <d v="2021-07-06T00:00:00Z"/>
        <d v="2021-05-06T00:00:00Z"/>
        <d v="2021-05-01T00:00:00Z"/>
        <d v="2021-03-01T00:00:00Z"/>
        <d v="2021-07-12T00:00:00Z"/>
        <d v="2021-05-12T00:00:00Z"/>
        <d v="2021-12-07T00:00:00Z"/>
        <d v="2021-10-07T00:00:00Z"/>
        <d v="2021-03-18T00:00:00Z"/>
        <d v="2021-01-18T00:00:00Z"/>
        <d v="2022-10-16T00:00:00Z"/>
        <d v="2022-08-16T00:00:00Z"/>
        <d v="2022-06-19T00:00:00Z"/>
        <d v="2022-04-19T00:00:00Z"/>
        <d v="2022-05-16T00:00:00Z"/>
        <d v="2021-05-17T00:00:00Z"/>
        <d v="2021-03-17T00:00:00Z"/>
        <d v="2021-07-08T00:00:00Z"/>
        <d v="2021-05-08T00:00:00Z"/>
        <d v="2022-08-06T00:00:00Z"/>
        <d v="2022-06-06T00:00:00Z"/>
        <d v="2021-04-26T00:00:00Z"/>
        <d v="2021-02-26T00:00:00Z"/>
        <d v="2021-06-27T00:00:00Z"/>
        <d v="2021-04-27T00:00:00Z"/>
        <d v="2021-02-15T00:00:00Z"/>
        <d v="2020-12-15T00:00:00Z"/>
        <d v="2020-12-20T00:00:00Z"/>
        <d v="2020-10-20T00:00:00Z"/>
        <d v="2021-07-11T00:00:00Z"/>
        <d v="2021-11-29T00:00:00Z"/>
        <d v="2021-09-29T00:00:00Z"/>
        <d v="2021-10-25T00:00:00Z"/>
        <d v="2021-08-25T00:00:00Z"/>
        <d v="2022-07-02T00:00:00Z"/>
        <d v="2022-05-02T00:00:00Z"/>
        <d v="2022-05-13T00:00:00Z"/>
        <d v="2022-03-13T00:00:00Z"/>
        <d v="2022-05-05T00:00:00Z"/>
        <d v="2022-03-05T00:00:00Z"/>
        <d v="2021-09-20T00:00:00Z"/>
        <d v="2021-07-20T00:00:00Z"/>
        <d v="2022-09-05T00:00:00Z"/>
        <d v="2022-07-05T00:00:00Z"/>
        <d v="2021-05-21T00:00:00Z"/>
        <d v="2021-03-21T00:00:00Z"/>
        <d v="2021-05-22T00:00:00Z"/>
        <d v="2021-03-16T00:00:00Z"/>
        <d v="2021-01-16T00:00:00Z"/>
        <d v="2022-08-01T00:00:00Z"/>
        <d v="2022-06-01T00:00:00Z"/>
        <d v="2021-02-09T00:00:00Z"/>
        <d v="2020-12-09T00:00:00Z"/>
        <d v="2021-09-06T00:00:00Z"/>
        <d v="2021-01-09T00:00:00Z"/>
        <d v="2020-11-09T00:00:00Z"/>
        <d v="2020-12-25T00:00:00Z"/>
        <d v="2020-10-25T00:00:00Z"/>
        <d v="2022-02-14T00:00:00Z"/>
        <d v="2021-12-14T00:00:00Z"/>
        <d v="2021-03-08T00:00:00Z"/>
        <d v="2021-01-08T00:00:00Z"/>
        <d v="2022-03-10T00:00:00Z"/>
        <d v="2022-01-10T00:00:00Z"/>
        <d v="2022-06-12T00:00:00Z"/>
        <d v="2022-03-29T00:00:00Z"/>
        <d v="2022-01-29T00:00:00Z"/>
        <d v="2021-07-04T00:00:00Z"/>
        <d v="2021-05-04T00:00:00Z"/>
        <d v="2021-10-17T00:00:00Z"/>
        <d v="2021-08-17T00:00:00Z"/>
        <d v="2021-09-01T00:00:00Z"/>
        <d v="2021-07-01T00:00:00Z"/>
        <d v="2021-06-30T00:00:00Z"/>
        <d v="2021-04-30T00:00:00Z"/>
        <d v="2022-06-14T00:00:00Z"/>
        <d v="2022-04-14T00:00:00Z"/>
        <d v="2020-10-15T00:00:00Z"/>
        <d v="2022-10-27T00:00:00Z"/>
        <d v="2022-08-27T00:00:00Z"/>
        <d v="2020-12-18T00:00:00Z"/>
        <d v="2022-05-22T00:00:00Z"/>
        <d v="2020-10-18T00:00:00Z"/>
        <d v="2022-03-22T00:00:00Z"/>
        <d v="2021-09-07T00:00:00Z"/>
        <d v="2021-07-07T00:00:00Z"/>
        <d v="2022-02-17T00:00:00Z"/>
        <d v="2021-12-17T00:00:00Z"/>
        <d v="2023-04-29T00:00:00Z"/>
        <d v="2023-02-28T00:00:00Z"/>
        <d v="2020-09-11T00:00:00Z"/>
        <d v="2020-11-11T00:00:00Z"/>
        <d v="2020-09-29T00:00:00Z"/>
        <d v="2021-09-12T00:00:00Z"/>
        <d v="2020-07-07T00:00:00Z"/>
        <d v="2020-05-07T00:00:00Z"/>
        <d v="2020-08-18T00:00:00Z"/>
      </sharedItems>
    </cacheField>
    <cacheField name="Salary" numFmtId="168">
      <sharedItems containsSemiMixedTypes="0" containsString="0" containsNumber="1" containsInteger="1">
        <n v="33920.0"/>
        <n v="34980.0"/>
        <n v="36040.0"/>
        <n v="37920.0"/>
        <n v="40400.0"/>
        <n v="41570.0"/>
        <n v="41980.0"/>
        <n v="43510.0"/>
        <n v="43840.0"/>
        <n v="45510.0"/>
        <n v="47360.0"/>
        <n v="48170.0"/>
        <n v="48530.0"/>
        <n v="48950.0"/>
        <n v="48980.0"/>
        <n v="49630.0"/>
        <n v="52610.0"/>
        <n v="53240.0"/>
        <n v="53540.0"/>
        <n v="53870.0"/>
        <n v="54970.0"/>
        <n v="56870.0"/>
        <n v="57090.0"/>
        <n v="58100.0"/>
        <n v="58940.0"/>
        <n v="58960.0"/>
        <n v="59430.0"/>
        <n v="60130.0"/>
        <n v="60570.0"/>
        <n v="62780.0"/>
        <n v="64000.0"/>
        <n v="65360.0"/>
        <n v="65700.0"/>
        <n v="65920.0"/>
        <n v="67910.0"/>
        <n v="67950.0"/>
        <n v="68900.0"/>
        <n v="69070.0"/>
        <n v="69120.0"/>
        <n v="69710.0"/>
        <n v="70270.0"/>
        <n v="70610.0"/>
        <n v="71380.0"/>
        <n v="74550.0"/>
        <n v="75000.0"/>
        <n v="75280.0"/>
        <n v="75480.0"/>
        <n v="75880.0"/>
        <n v="75970.0"/>
        <n v="76900.0"/>
        <n v="78390.0"/>
        <n v="78540.0"/>
        <n v="79570.0"/>
        <n v="80700.0"/>
        <n v="83750.0"/>
        <n v="85000.0"/>
        <n v="86570.0"/>
        <n v="87620.0"/>
        <n v="88050.0"/>
        <n v="90700.0"/>
        <n v="91310.0"/>
        <n v="91650.0"/>
        <n v="92450.0"/>
        <n v="92700.0"/>
        <n v="96140.0"/>
        <n v="96800.0"/>
        <n v="99750.0"/>
        <n v="99970.0"/>
        <n v="100420.0"/>
        <n v="103550.0"/>
        <n v="104120.0"/>
        <n v="104410.0"/>
        <n v="104770.0"/>
        <n v="106460.0"/>
        <n v="107700.0"/>
        <n v="109160.0"/>
        <n v="109190.0"/>
        <n v="112110.0"/>
        <n v="112570.0"/>
        <n v="112650.0"/>
        <n v="112780.0"/>
        <n v="113280.0"/>
        <n v="114180.0"/>
        <n v="114870.0"/>
        <n v="114890.0"/>
        <n v="115440.0"/>
        <n v="115920.0"/>
        <n v="118100.0"/>
        <n v="118840.0"/>
        <n v="119110.0"/>
      </sharedItems>
    </cacheField>
    <cacheField name="Rating" numFmtId="0">
      <sharedItems>
        <s v="Average"/>
        <s v="Very poor"/>
        <s v="Above average"/>
        <s v="Poor"/>
        <s v="Exceptional"/>
      </sharedItems>
    </cacheField>
    <cacheField name="Country" numFmtId="0">
      <sharedItems>
        <s v="IND"/>
        <s v="NZ"/>
      </sharedItems>
    </cacheField>
    <cacheField name="Tenure" numFmtId="4">
      <sharedItems containsSemiMixedTypes="0" containsString="0" containsNumber="1">
        <n v="4.06027397260274"/>
        <n v="4.221917808219178"/>
        <n v="5.854794520547945"/>
        <n v="6.021917808219178"/>
        <n v="4.219178082191781"/>
        <n v="4.389041095890411"/>
        <n v="5.632876712328767"/>
        <n v="5.802739726027397"/>
        <n v="3.926027397260274"/>
        <n v="4.093150684931507"/>
        <n v="4.243835616438356"/>
        <n v="4.413698630136986"/>
        <n v="5.52054794520548"/>
        <n v="5.6876712328767125"/>
        <n v="3.671232876712329"/>
        <n v="3.841095890410959"/>
        <n v="4.947945205479452"/>
        <n v="5.115068493150685"/>
        <n v="4.821917808219178"/>
        <n v="4.989041095890411"/>
        <n v="5.301369863013699"/>
        <n v="5.468493150684932"/>
        <n v="5.8054794520547945"/>
        <n v="5.972602739726027"/>
        <n v="3.9972602739726026"/>
        <n v="4.164383561643835"/>
        <n v="4.517808219178082"/>
        <n v="4.684931506849315"/>
        <n v="4.364383561643836"/>
        <n v="4.531506849315068"/>
        <n v="3.9424657534246577"/>
        <n v="4.109589041095891"/>
        <n v="4.723287671232876"/>
        <n v="4.890410958904109"/>
        <n v="4.93972602739726"/>
        <n v="5.1068493150684935"/>
        <n v="4.6438356164383565"/>
        <n v="4.791780821917809"/>
        <n v="4.813698630136987"/>
        <n v="4.958904109589041"/>
        <n v="4.523287671232877"/>
        <n v="4.69041095890411"/>
        <n v="5.550684931506849"/>
        <n v="5.717808219178083"/>
        <n v="5.016438356164383"/>
        <n v="5.183561643835616"/>
        <n v="3.83013698630137"/>
        <n v="4.101369863013699"/>
        <n v="4.263013698630137"/>
        <n v="4.1287671232876715"/>
        <n v="4.2904109589041095"/>
        <n v="5.158904109589041"/>
        <n v="5.32054794520548"/>
        <n v="5.252054794520548"/>
        <n v="5.421917808219178"/>
        <n v="4.241095890410959"/>
        <n v="4.410958904109589"/>
        <n v="4.254794520547946"/>
        <n v="5.512328767123288"/>
        <n v="5.67945205479452"/>
        <n v="4.282191780821917"/>
        <n v="4.4520547945205475"/>
        <n v="5.734246575342466"/>
        <n v="5.901369863013699"/>
        <n v="4.868493150684931"/>
        <n v="5.035616438356165"/>
        <n v="5.049315068493151"/>
        <n v="5.2164383561643834"/>
        <n v="4.852054794520548"/>
        <n v="5.019178082191781"/>
        <n v="4.446575342465754"/>
        <n v="4.6136986301369864"/>
        <n v="5.16986301369863"/>
        <n v="5.331506849315068"/>
        <n v="3.589041095890411"/>
        <n v="3.756164383561644"/>
        <n v="3.915068493150685"/>
        <n v="4.082191780821918"/>
        <n v="4.008219178082192"/>
        <n v="5.005479452054795"/>
        <n v="5.1726027397260275"/>
        <n v="4.863013698630137"/>
        <n v="5.03013698630137"/>
        <n v="3.7835616438356166"/>
        <n v="3.9506849315068493"/>
        <n v="5.063013698630137"/>
        <n v="5.2246575342465755"/>
        <n v="4.8931506849315065"/>
        <n v="5.06027397260274"/>
        <n v="5.254794520547946"/>
        <n v="5.424657534246576"/>
        <n v="5.410958904109589"/>
        <n v="5.578082191780822"/>
        <n v="4.854794520547945"/>
        <n v="4.468493150684932"/>
        <n v="4.635616438356164"/>
        <n v="4.564383561643836"/>
        <n v="4.7315068493150685"/>
        <n v="3.8794520547945206"/>
        <n v="4.046575342465753"/>
        <n v="4.016438356164383"/>
        <n v="4.183561643835616"/>
        <n v="4.038356164383561"/>
        <n v="4.205479452054795"/>
        <n v="4.66027397260274"/>
        <n v="4.83013698630137"/>
        <n v="3.7013698630136984"/>
        <n v="3.871232876712329"/>
        <n v="4.994520547945205"/>
        <n v="5.161643835616438"/>
        <n v="4.991780821917808"/>
        <n v="5.175342465753425"/>
        <n v="5.336986301369863"/>
        <n v="3.797260273972603"/>
        <n v="3.9643835616438357"/>
        <n v="5.271232876712329"/>
        <n v="5.441095890410959"/>
        <n v="4.698630136986301"/>
        <n v="5.3561643835616435"/>
        <n v="5.523287671232877"/>
        <n v="5.397260273972603"/>
        <n v="5.564383561643836"/>
        <n v="4.257534246575342"/>
        <n v="4.427397260273972"/>
        <n v="5.197260273972603"/>
        <n v="5.358904109589041"/>
        <n v="4.191780821917808"/>
        <n v="4.353424657534247"/>
        <n v="3.9342465753424656"/>
        <n v="4.13972602739726"/>
        <n v="4.301369863013699"/>
        <n v="4.873972602739726"/>
        <n v="5.041095890410959"/>
        <n v="4.586301369863014"/>
        <n v="4.7534246575342465"/>
        <n v="4.712328767123288"/>
        <n v="4.882191780821918"/>
        <n v="4.884931506849315"/>
        <n v="5.052054794520548"/>
        <n v="3.9287671232876713"/>
        <n v="4.095890410958904"/>
        <n v="5.5917808219178085"/>
        <n v="3.558904109589041"/>
        <n v="3.7260273972602738"/>
        <n v="5.416438356164384"/>
        <n v="3.9917808219178084"/>
        <n v="5.583561643835616"/>
        <n v="4.158904109589041"/>
        <n v="4.695890410958904"/>
        <n v="4.865753424657535"/>
        <n v="4.249315068493151"/>
        <n v="4.419178082191781"/>
        <n v="3.0547945205479454"/>
        <n v="3.219178082191781"/>
        <n v="5.684931506849315"/>
        <n v="5.517808219178082"/>
        <n v="5.635616438356164"/>
        <n v="4.682191780821918"/>
        <n v="5.865753424657535"/>
        <n v="6.032876712328767"/>
        <n v="5.750684931506849"/>
      </sharedItems>
    </cacheField>
    <cacheField name="Bonus" numFmtId="167">
      <sharedItems containsSemiMixedTypes="0" containsString="0" containsNumber="1" containsInteger="1">
        <n v="1018.0"/>
        <n v="1050.0"/>
        <n v="1082.0"/>
        <n v="1138.0"/>
        <n v="808.0"/>
        <n v="1212.0"/>
        <n v="1248.0"/>
        <n v="1260.0"/>
        <n v="871.0"/>
        <n v="1316.0"/>
        <n v="1366.0"/>
        <n v="1421.0"/>
        <n v="1446.0"/>
        <n v="971.0"/>
        <n v="1456.0"/>
        <n v="1469.0"/>
        <n v="1470.0"/>
        <n v="993.0"/>
        <n v="1489.0"/>
        <n v="1579.0"/>
        <n v="1598.0"/>
        <n v="1607.0"/>
        <n v="1617.0"/>
        <n v="1650.0"/>
        <n v="1707.0"/>
        <n v="1142.0"/>
        <n v="1743.0"/>
        <n v="1769.0"/>
        <n v="1783.0"/>
        <n v="1804.0"/>
        <n v="1818.0"/>
        <n v="1884.0"/>
        <n v="1920.0"/>
        <n v="1961.0"/>
        <n v="1971.0"/>
        <n v="1978.0"/>
        <n v="2038.0"/>
        <n v="1359.0"/>
        <n v="2039.0"/>
        <n v="2067.0"/>
        <n v="1382.0"/>
        <n v="2073.0"/>
        <n v="2074.0"/>
        <n v="1395.0"/>
        <n v="1406.0"/>
        <n v="2109.0"/>
        <n v="1413.0"/>
        <n v="2119.0"/>
        <n v="2142.0"/>
        <n v="2237.0"/>
        <n v="1500.0"/>
        <n v="2259.0"/>
        <n v="2265.0"/>
        <n v="2277.0"/>
        <n v="2280.0"/>
        <n v="2307.0"/>
        <n v="2352.0"/>
        <n v="2357.0"/>
        <n v="1592.0"/>
        <n v="2388.0"/>
        <n v="2421.0"/>
        <n v="2513.0"/>
        <n v="2550.0"/>
        <n v="1732.0"/>
        <n v="2629.0"/>
        <n v="2642.0"/>
        <n v="2721.0"/>
        <n v="1827.0"/>
        <n v="2750.0"/>
        <n v="2774.0"/>
        <n v="2781.0"/>
        <n v="2885.0"/>
        <n v="2904.0"/>
        <n v="2993.0"/>
        <n v="3000.0"/>
        <n v="3013.0"/>
        <n v="2071.0"/>
        <n v="3107.0"/>
        <n v="3124.0"/>
        <n v="3133.0"/>
        <n v="3144.0"/>
        <n v="3194.0"/>
        <n v="3231.0"/>
        <n v="3275.0"/>
        <n v="2184.0"/>
        <n v="3276.0"/>
        <n v="3364.0"/>
        <n v="2252.0"/>
        <n v="3380.0"/>
        <n v="2253.0"/>
        <n v="3384.0"/>
        <n v="3399.0"/>
        <n v="2284.0"/>
        <n v="2298.0"/>
        <n v="3447.0"/>
        <n v="3464.0"/>
        <n v="3478.0"/>
        <n v="3543.0"/>
        <n v="3566.0"/>
        <n v="3574.0"/>
      </sharedItems>
    </cacheField>
    <cacheField name="Rating in number" numFmtId="0">
      <sharedItems containsSemiMixedTypes="0" containsString="0" containsNumber="1" containsInteger="1">
        <n v="3.0"/>
        <n v="1.0"/>
        <n v="4.0"/>
        <n v="2.0"/>
        <n v="5.0"/>
      </sharedItems>
    </cacheField>
    <cacheField name="Year" numFmtId="0">
      <sharedItems containsSemiMixedTypes="0" containsString="0" containsNumber="1" containsInteger="1">
        <n v="2022.0"/>
        <n v="2020.0"/>
        <n v="2021.0"/>
        <n v="2023.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EDA" cacheId="0" dataOnRows="1" dataCaption="" colGrandTotals="0" compact="0" compactData="0">
  <location ref="P6:R11" firstHeaderRow="0" firstDataRow="1" firstDataCol="1" rowPageCount="1" colPageCount="1"/>
  <pivotFields>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Gender" axis="axisCol" compact="0" outline="0" multipleItemSelectionAllowed="1" showAll="0" sortType="ascending">
      <items>
        <item h="1" x="3"/>
        <item x="0"/>
        <item x="1"/>
        <item h="1" x="2"/>
        <item t="default"/>
      </items>
    </pivotField>
    <pivotField name="Department" compact="0" outline="0" multipleItemSelectionAllowed="1" showAll="0">
      <items>
        <item x="0"/>
        <item x="1"/>
        <item x="2"/>
        <item x="3"/>
        <item x="4"/>
        <item x="5"/>
        <item t="default"/>
      </items>
    </pivotField>
    <pivotField name="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Date Join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Salary" dataField="1"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Rating" compact="0" outline="0" multipleItemSelectionAllowed="1" showAll="0">
      <items>
        <item x="0"/>
        <item x="1"/>
        <item x="2"/>
        <item x="3"/>
        <item x="4"/>
        <item x="5"/>
        <item t="default"/>
      </items>
    </pivotField>
    <pivotField name="Country" axis="axisPage" compact="0" outline="0" multipleItemSelectionAllowed="1" showAll="0">
      <items>
        <item x="0"/>
        <item x="1"/>
        <item x="2"/>
        <item t="default"/>
      </items>
    </pivotField>
    <pivotField name="Tenure"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s>
  <rowFields>
    <field x="-2"/>
  </rowFields>
  <colFields>
    <field x="1"/>
  </colFields>
  <pageFields>
    <pageField fld="7"/>
  </pageFields>
  <dataFields>
    <dataField name="COUNTA of Name" fld="0" subtotal="count" baseField="0"/>
    <dataField name="AVERAGE of Age" fld="3" subtotal="average" baseField="0"/>
    <dataField name="AVERAGE of Salary" fld="5" subtotal="average" baseField="0"/>
    <dataField name="AVERAGE of Tenure" fld="8" subtotal="average" baseField="0"/>
  </dataFields>
</pivotTableDefinition>
</file>

<file path=xl/pivotTables/pivotTable2.xml><?xml version="1.0" encoding="utf-8"?>
<pivotTableDefinition xmlns="http://schemas.openxmlformats.org/spreadsheetml/2006/main" name="Charts" cacheId="1" dataCaption="" compact="0" compactData="0">
  <location ref="J2:L8" firstHeaderRow="0" firstDataRow="2" firstDataCol="0"/>
  <pivotFields>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name="Gender" compact="0" outline="0" multipleItemSelectionAllowed="1" showAll="0">
      <items>
        <item x="0"/>
        <item x="1"/>
        <item x="2"/>
        <item t="default"/>
      </items>
    </pivotField>
    <pivotField name="Department" compact="0" outline="0" multipleItemSelectionAllowed="1" showAll="0">
      <items>
        <item x="0"/>
        <item x="1"/>
        <item x="2"/>
        <item x="3"/>
        <item x="4"/>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te Join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Salary" dataField="1"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Rating" axis="axisRow" compact="0" outline="0" multipleItemSelectionAllowed="1" showAll="0" sortType="ascending">
      <items>
        <item x="2"/>
        <item x="0"/>
        <item x="4"/>
        <item x="3"/>
        <item x="1"/>
        <item t="default"/>
      </items>
    </pivotField>
    <pivotField name="Country" compact="0" outline="0" multipleItemSelectionAllowed="1" showAll="0">
      <items>
        <item x="0"/>
        <item x="1"/>
        <item t="default"/>
      </items>
    </pivotField>
    <pivotField name="Tenur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Bonus"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s>
  <rowFields>
    <field x="6"/>
  </rowFields>
  <colFields>
    <field x="-2"/>
  </colFields>
  <dataFields>
    <dataField name="COUNTA of Name" fld="0" subtotal="count" baseField="0"/>
    <dataField name="AVERAGE of Salary" fld="5" subtotal="average" baseField="0"/>
  </dataFields>
</pivotTableDefinition>
</file>

<file path=xl/pivotTables/pivotTable3.xml><?xml version="1.0" encoding="utf-8"?>
<pivotTableDefinition xmlns="http://schemas.openxmlformats.org/spreadsheetml/2006/main" name="Charts 2" cacheId="2" dataCaption="" rowGrandTotals="0" compact="0" compactData="0">
  <location ref="Q2:S6" firstHeaderRow="0" firstDataRow="2" firstDataCol="0"/>
  <pivotFields>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name="Gender" compact="0" outline="0" multipleItemSelectionAllowed="1" showAll="0">
      <items>
        <item x="0"/>
        <item x="1"/>
        <item x="2"/>
        <item t="default"/>
      </items>
    </pivotField>
    <pivotField name="Department" compact="0" outline="0" multipleItemSelectionAllowed="1" showAll="0">
      <items>
        <item x="0"/>
        <item x="1"/>
        <item x="2"/>
        <item x="3"/>
        <item x="4"/>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te Joined" axis="axisRow" compact="0" numFmtId="164" outline="0" multipleItemSelectionAllowed="1" showAll="0" sortType="ascending">
      <items>
        <item x="159"/>
        <item x="3"/>
        <item x="23"/>
        <item x="63"/>
        <item x="158"/>
        <item x="2"/>
        <item x="22"/>
        <item x="7"/>
        <item x="160"/>
        <item x="62"/>
        <item x="43"/>
        <item x="13"/>
        <item x="154"/>
        <item x="59"/>
        <item x="156"/>
        <item x="6"/>
        <item x="141"/>
        <item x="146"/>
        <item x="92"/>
        <item x="121"/>
        <item x="42"/>
        <item x="119"/>
        <item x="12"/>
        <item x="155"/>
        <item x="58"/>
        <item x="21"/>
        <item x="116"/>
        <item x="90"/>
        <item x="54"/>
        <item x="144"/>
        <item x="91"/>
        <item x="120"/>
        <item x="125"/>
        <item x="118"/>
        <item x="112"/>
        <item x="73"/>
        <item x="52"/>
        <item x="20"/>
        <item x="115"/>
        <item x="89"/>
        <item x="53"/>
        <item x="86"/>
        <item x="67"/>
        <item x="124"/>
        <item x="45"/>
        <item x="111"/>
        <item x="80"/>
        <item x="72"/>
        <item x="109"/>
        <item x="51"/>
        <item x="17"/>
        <item x="35"/>
        <item x="85"/>
        <item x="88"/>
        <item x="138"/>
        <item x="66"/>
        <item x="132"/>
        <item x="65"/>
        <item x="82"/>
        <item x="69"/>
        <item x="44"/>
        <item x="79"/>
        <item x="108"/>
        <item x="110"/>
        <item x="19"/>
        <item x="39"/>
        <item x="16"/>
        <item x="34"/>
        <item x="87"/>
        <item x="33"/>
        <item x="137"/>
        <item x="136"/>
        <item x="131"/>
        <item x="64"/>
        <item x="149"/>
        <item x="81"/>
        <item x="93"/>
        <item x="68"/>
        <item x="105"/>
        <item x="18"/>
        <item x="38"/>
        <item x="37"/>
        <item x="134"/>
        <item x="97"/>
        <item x="32"/>
        <item x="135"/>
        <item x="117"/>
        <item x="148"/>
        <item x="41"/>
        <item x="27"/>
        <item x="157"/>
        <item x="104"/>
        <item x="36"/>
        <item x="95"/>
        <item x="71"/>
        <item x="133"/>
        <item x="96"/>
        <item x="29"/>
        <item x="40"/>
        <item x="26"/>
        <item x="94"/>
        <item x="61"/>
        <item x="70"/>
        <item x="123"/>
        <item x="151"/>
        <item x="11"/>
        <item x="56"/>
        <item x="5"/>
        <item x="28"/>
        <item x="127"/>
        <item x="130"/>
        <item x="50"/>
        <item x="60"/>
        <item x="48"/>
        <item x="122"/>
        <item x="57"/>
        <item x="150"/>
        <item x="10"/>
        <item x="55"/>
        <item x="1"/>
        <item x="4"/>
        <item x="103"/>
        <item x="126"/>
        <item x="101"/>
        <item x="25"/>
        <item x="147"/>
        <item x="129"/>
        <item x="49"/>
        <item x="31"/>
        <item x="47"/>
        <item x="140"/>
        <item x="9"/>
        <item x="77"/>
        <item x="0"/>
        <item x="99"/>
        <item x="102"/>
        <item x="100"/>
        <item x="78"/>
        <item x="24"/>
        <item x="145"/>
        <item x="114"/>
        <item x="84"/>
        <item x="30"/>
        <item x="128"/>
        <item x="139"/>
        <item x="8"/>
        <item x="76"/>
        <item x="98"/>
        <item x="107"/>
        <item x="15"/>
        <item x="46"/>
        <item x="113"/>
        <item x="83"/>
        <item x="75"/>
        <item x="143"/>
        <item x="106"/>
        <item x="14"/>
        <item x="74"/>
        <item x="142"/>
        <item x="153"/>
        <item x="152"/>
        <item t="default"/>
      </items>
    </pivotField>
    <pivotField name="Salary"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Rating" compact="0" outline="0" multipleItemSelectionAllowed="1" showAll="0">
      <items>
        <item x="0"/>
        <item x="1"/>
        <item x="2"/>
        <item x="3"/>
        <item x="4"/>
        <item t="default"/>
      </items>
    </pivotField>
    <pivotField name="Country" compact="0" outline="0" multipleItemSelectionAllowed="1" showAll="0">
      <items>
        <item x="0"/>
        <item x="1"/>
        <item t="default"/>
      </items>
    </pivotField>
    <pivotField name="Tenur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Bonus"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Rating in number" compact="0" outline="0" multipleItemSelectionAllowed="1" showAll="0">
      <items>
        <item x="0"/>
        <item x="1"/>
        <item x="2"/>
        <item x="3"/>
        <item x="4"/>
        <item t="default"/>
      </items>
    </pivotField>
    <pivotField name="Year" axis="axisRow" compact="0" outline="0" multipleItemSelectionAllowed="1" showAll="0" sortType="ascending" defaultSubtotal="0">
      <items>
        <item sd="0" x="1"/>
        <item sd="0" x="2"/>
        <item sd="0" x="0"/>
        <item sd="0" x="3"/>
      </items>
    </pivotField>
  </pivotFields>
  <rowFields>
    <field x="11"/>
    <field x="4"/>
  </rowFields>
  <dataFields>
    <dataField name="COUNTA of Name" fld="0" subtotal="count" baseField="0"/>
  </dataFields>
</pivotTableDefinition>
</file>

<file path=xl/pivotTables/pivotTable4.xml><?xml version="1.0" encoding="utf-8"?>
<pivotTableDefinition xmlns="http://schemas.openxmlformats.org/spreadsheetml/2006/main" name="INDvsNZ" cacheId="2" dataCaption="" rowGrandTotals="0" compact="0" compactData="0">
  <location ref="X4:Y9" firstHeaderRow="0" firstDataRow="1" firstDataCol="0" rowPageCount="1" colPageCount="1"/>
  <pivotFields>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name="Gender" compact="0" outline="0" multipleItemSelectionAllowed="1" showAll="0">
      <items>
        <item x="0"/>
        <item x="1"/>
        <item x="2"/>
        <item t="default"/>
      </items>
    </pivotField>
    <pivotField name="Department"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te Join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Salary"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Rating" compact="0" outline="0" multipleItemSelectionAllowed="1" showAll="0">
      <items>
        <item x="0"/>
        <item x="1"/>
        <item x="2"/>
        <item x="3"/>
        <item x="4"/>
        <item t="default"/>
      </items>
    </pivotField>
    <pivotField name="Country" axis="axisPage" compact="0" outline="0" multipleItemSelectionAllowed="1" showAll="0">
      <items>
        <item x="0"/>
        <item h="1" x="1"/>
        <item t="default"/>
      </items>
    </pivotField>
    <pivotField name="Tenur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Bonus"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Rating in number" compact="0" outline="0" multipleItemSelectionAllowed="1" showAll="0">
      <items>
        <item x="0"/>
        <item x="1"/>
        <item x="2"/>
        <item x="3"/>
        <item x="4"/>
        <item t="default"/>
      </items>
    </pivotField>
    <pivotField name="Year" compact="0" outline="0" multipleItemSelectionAllowed="1" showAll="0">
      <items>
        <item x="0"/>
        <item x="1"/>
        <item x="2"/>
        <item x="3"/>
        <item t="default"/>
      </items>
    </pivotField>
  </pivotFields>
  <rowFields>
    <field x="2"/>
  </rowFields>
  <pageFields>
    <pageField fld="7"/>
  </pageFields>
  <dataFields>
    <dataField name="COUNTA of Name" fld="0" subtotal="count" baseField="0"/>
  </dataFields>
</pivotTableDefinition>
</file>

<file path=xl/pivotTables/pivotTable5.xml><?xml version="1.0" encoding="utf-8"?>
<pivotTableDefinition xmlns="http://schemas.openxmlformats.org/spreadsheetml/2006/main" name="INDvsNZ 2" cacheId="2" dataCaption="" rowGrandTotals="0" compact="0" compactData="0">
  <location ref="AA4:AB9" firstHeaderRow="0" firstDataRow="1" firstDataCol="0" rowPageCount="1" colPageCount="1"/>
  <pivotFields>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name="Gender" compact="0" outline="0" multipleItemSelectionAllowed="1" showAll="0">
      <items>
        <item x="0"/>
        <item x="1"/>
        <item x="2"/>
        <item t="default"/>
      </items>
    </pivotField>
    <pivotField name="Department"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te Join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Salary"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Rating" compact="0" outline="0" multipleItemSelectionAllowed="1" showAll="0">
      <items>
        <item x="0"/>
        <item x="1"/>
        <item x="2"/>
        <item x="3"/>
        <item x="4"/>
        <item t="default"/>
      </items>
    </pivotField>
    <pivotField name="Country" axis="axisPage" compact="0" outline="0" multipleItemSelectionAllowed="1" showAll="0">
      <items>
        <item h="1" x="0"/>
        <item x="1"/>
        <item t="default"/>
      </items>
    </pivotField>
    <pivotField name="Tenur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Bonus"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Rating in number" compact="0" outline="0" multipleItemSelectionAllowed="1" showAll="0">
      <items>
        <item x="0"/>
        <item x="1"/>
        <item x="2"/>
        <item x="3"/>
        <item x="4"/>
        <item t="default"/>
      </items>
    </pivotField>
    <pivotField name="Year" compact="0" outline="0" multipleItemSelectionAllowed="1" showAll="0">
      <items>
        <item x="0"/>
        <item x="1"/>
        <item x="2"/>
        <item x="3"/>
        <item t="default"/>
      </items>
    </pivotField>
  </pivotFields>
  <rowFields>
    <field x="2"/>
  </rowFields>
  <pageFields>
    <pageField fld="7"/>
  </pageFields>
  <dataFields>
    <dataField name="COUNTA of Name"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ountry">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1" cache="SlicerCache_Table_1_Col_8" caption="Country" rowHeight="247650"/>
</x14:slicers>
</file>

<file path=xl/tables/table1.xml><?xml version="1.0" encoding="utf-8"?>
<table xmlns="http://schemas.openxmlformats.org/spreadsheetml/2006/main" ref="A1:I213" displayName="Table_1" name="Table_1" id="1">
  <autoFilter ref="$A$1:$I$213"/>
  <tableColumns count="9">
    <tableColumn name="Name" id="1"/>
    <tableColumn name="Gender" id="2"/>
    <tableColumn name="Department" id="3"/>
    <tableColumn name="Age" id="4"/>
    <tableColumn name="Date Joined" id="5"/>
    <tableColumn name="Salary" id="6"/>
    <tableColumn name="Rating" id="7"/>
    <tableColumn name="Country" id="8"/>
    <tableColumn name="Tenure"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 Id="rId3"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38"/>
    <col customWidth="1" min="2" max="26" width="11.38"/>
  </cols>
  <sheetData>
    <row r="1" ht="15.75" customHeight="1">
      <c r="A1" s="1" t="s">
        <v>0</v>
      </c>
    </row>
    <row r="2" ht="15.75" customHeight="1">
      <c r="A2" s="1" t="s">
        <v>1</v>
      </c>
    </row>
    <row r="3" ht="15.75" customHeight="1">
      <c r="A3" s="1" t="s">
        <v>2</v>
      </c>
      <c r="D3" s="2"/>
      <c r="I3" s="3"/>
    </row>
    <row r="4" ht="15.75" customHeight="1">
      <c r="A4" s="1" t="s">
        <v>3</v>
      </c>
      <c r="D4" s="1"/>
    </row>
    <row r="5" ht="15.75" customHeight="1">
      <c r="A5" s="1" t="s">
        <v>4</v>
      </c>
      <c r="D5" s="1"/>
    </row>
    <row r="6" ht="15.75" customHeight="1">
      <c r="A6" s="1" t="s">
        <v>5</v>
      </c>
      <c r="D6" s="1"/>
    </row>
    <row r="7" ht="15.75" customHeight="1">
      <c r="A7" s="1" t="s">
        <v>6</v>
      </c>
      <c r="D7" s="1"/>
    </row>
    <row r="8" ht="15.75" customHeight="1">
      <c r="A8" s="1" t="s">
        <v>7</v>
      </c>
      <c r="D8" s="1"/>
    </row>
    <row r="9" ht="15.75" customHeight="1">
      <c r="A9" s="1" t="s">
        <v>8</v>
      </c>
      <c r="D9" s="1"/>
    </row>
    <row r="10" ht="15.75" customHeight="1">
      <c r="A10" s="1" t="s">
        <v>9</v>
      </c>
      <c r="D10" s="1"/>
    </row>
    <row r="11" ht="15.75" customHeight="1">
      <c r="A11" s="1" t="s">
        <v>10</v>
      </c>
      <c r="D11" s="1"/>
    </row>
    <row r="12" ht="15.75" customHeight="1">
      <c r="A12" s="1" t="s">
        <v>11</v>
      </c>
      <c r="D12" s="1"/>
    </row>
    <row r="13" ht="15.75" customHeight="1">
      <c r="A13" s="1" t="s">
        <v>12</v>
      </c>
    </row>
    <row r="14" ht="15.75" customHeight="1">
      <c r="A14" s="1" t="s">
        <v>13</v>
      </c>
    </row>
    <row r="15" ht="15.75" customHeight="1"/>
    <row r="16" ht="15.75" customHeight="1"/>
    <row r="17" ht="15.75" customHeight="1"/>
    <row r="18" ht="15.75" customHeight="1">
      <c r="A18" s="4"/>
    </row>
    <row r="19" ht="15.75" customHeight="1">
      <c r="A19" s="4"/>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c r="A30" s="4"/>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6.5"/>
    <col customWidth="1" min="3" max="3" width="10.75"/>
    <col customWidth="1" min="4" max="4" width="3.88"/>
    <col customWidth="1" min="5" max="5" width="9.88"/>
    <col customWidth="1" min="6" max="6" width="6.63"/>
    <col customWidth="1" min="7" max="7" width="11.88"/>
    <col customWidth="1" min="8" max="8" width="6.88"/>
    <col customWidth="1" min="11" max="11" width="25.0"/>
    <col customWidth="1" min="12" max="12" width="6.5"/>
    <col customWidth="1" min="13" max="13" width="3.88"/>
    <col customWidth="1" min="14" max="14" width="11.88"/>
    <col customWidth="1" min="15" max="15" width="9.88"/>
    <col customWidth="1" min="16" max="16" width="10.75"/>
    <col customWidth="1" min="17" max="17" width="6.63"/>
    <col customWidth="1" min="18" max="18" width="8.13"/>
  </cols>
  <sheetData>
    <row r="1">
      <c r="A1" s="5" t="s">
        <v>14</v>
      </c>
      <c r="B1" s="5" t="s">
        <v>15</v>
      </c>
      <c r="C1" s="5" t="s">
        <v>16</v>
      </c>
      <c r="D1" s="5" t="s">
        <v>17</v>
      </c>
      <c r="E1" s="5" t="s">
        <v>18</v>
      </c>
      <c r="F1" s="5" t="s">
        <v>19</v>
      </c>
      <c r="G1" s="5" t="s">
        <v>20</v>
      </c>
      <c r="H1" s="6" t="s">
        <v>21</v>
      </c>
      <c r="K1" s="5" t="s">
        <v>14</v>
      </c>
      <c r="L1" s="5" t="s">
        <v>15</v>
      </c>
      <c r="M1" s="5" t="s">
        <v>17</v>
      </c>
      <c r="N1" s="5" t="s">
        <v>20</v>
      </c>
      <c r="O1" s="5" t="s">
        <v>18</v>
      </c>
      <c r="P1" s="5" t="s">
        <v>16</v>
      </c>
      <c r="Q1" s="5" t="s">
        <v>19</v>
      </c>
      <c r="R1" s="6" t="s">
        <v>22</v>
      </c>
    </row>
    <row r="2">
      <c r="A2" s="7" t="s">
        <v>23</v>
      </c>
      <c r="B2" s="7" t="s">
        <v>24</v>
      </c>
      <c r="C2" s="7" t="s">
        <v>25</v>
      </c>
      <c r="D2" s="8">
        <v>22.0</v>
      </c>
      <c r="E2" s="9">
        <v>44446.0</v>
      </c>
      <c r="F2" s="8">
        <v>112780.0</v>
      </c>
      <c r="G2" s="7" t="s">
        <v>26</v>
      </c>
      <c r="H2" s="10" t="s">
        <v>27</v>
      </c>
      <c r="K2" s="7" t="s">
        <v>28</v>
      </c>
      <c r="L2" s="7" t="s">
        <v>24</v>
      </c>
      <c r="M2" s="8">
        <v>20.0</v>
      </c>
      <c r="N2" s="7" t="s">
        <v>29</v>
      </c>
      <c r="O2" s="11">
        <v>44122.0</v>
      </c>
      <c r="P2" s="7" t="s">
        <v>30</v>
      </c>
      <c r="Q2" s="8">
        <v>112650.0</v>
      </c>
      <c r="R2" s="12" t="s">
        <v>31</v>
      </c>
    </row>
    <row r="3">
      <c r="A3" s="7" t="s">
        <v>32</v>
      </c>
      <c r="B3" s="7" t="s">
        <v>24</v>
      </c>
      <c r="C3" s="7" t="s">
        <v>33</v>
      </c>
      <c r="D3" s="8">
        <v>46.0</v>
      </c>
      <c r="E3" s="9">
        <v>44758.0</v>
      </c>
      <c r="F3" s="8">
        <v>70610.0</v>
      </c>
      <c r="G3" s="7" t="s">
        <v>29</v>
      </c>
      <c r="H3" s="10" t="s">
        <v>27</v>
      </c>
      <c r="K3" s="7" t="s">
        <v>34</v>
      </c>
      <c r="L3" s="7" t="s">
        <v>35</v>
      </c>
      <c r="M3" s="8">
        <v>32.0</v>
      </c>
      <c r="N3" s="7" t="s">
        <v>26</v>
      </c>
      <c r="O3" s="11">
        <v>44293.0</v>
      </c>
      <c r="P3" s="7" t="s">
        <v>30</v>
      </c>
      <c r="Q3" s="8">
        <v>43840.0</v>
      </c>
      <c r="R3" s="12" t="s">
        <v>31</v>
      </c>
    </row>
    <row r="4">
      <c r="A4" s="7" t="s">
        <v>36</v>
      </c>
      <c r="B4" s="7" t="s">
        <v>35</v>
      </c>
      <c r="C4" s="7" t="s">
        <v>25</v>
      </c>
      <c r="D4" s="8">
        <v>28.0</v>
      </c>
      <c r="E4" s="9">
        <v>44357.0</v>
      </c>
      <c r="F4" s="8">
        <v>53240.0</v>
      </c>
      <c r="G4" s="7" t="s">
        <v>29</v>
      </c>
      <c r="H4" s="10" t="s">
        <v>27</v>
      </c>
      <c r="K4" s="7" t="s">
        <v>37</v>
      </c>
      <c r="L4" s="7" t="s">
        <v>24</v>
      </c>
      <c r="M4" s="8">
        <v>31.0</v>
      </c>
      <c r="N4" s="7" t="s">
        <v>29</v>
      </c>
      <c r="O4" s="11">
        <v>44663.0</v>
      </c>
      <c r="P4" s="7" t="s">
        <v>33</v>
      </c>
      <c r="Q4" s="8">
        <v>103550.0</v>
      </c>
      <c r="R4" s="12" t="s">
        <v>31</v>
      </c>
    </row>
    <row r="5">
      <c r="A5" s="7" t="s">
        <v>38</v>
      </c>
      <c r="B5" s="13"/>
      <c r="C5" s="7" t="s">
        <v>39</v>
      </c>
      <c r="D5" s="8">
        <v>37.0</v>
      </c>
      <c r="E5" s="9">
        <v>44146.0</v>
      </c>
      <c r="F5" s="8">
        <v>115440.0</v>
      </c>
      <c r="G5" s="7" t="s">
        <v>40</v>
      </c>
      <c r="H5" s="10" t="s">
        <v>27</v>
      </c>
      <c r="K5" s="7" t="s">
        <v>41</v>
      </c>
      <c r="L5" s="7" t="s">
        <v>35</v>
      </c>
      <c r="M5" s="8">
        <v>32.0</v>
      </c>
      <c r="N5" s="7" t="s">
        <v>29</v>
      </c>
      <c r="O5" s="14">
        <v>44339.0</v>
      </c>
      <c r="P5" s="7" t="s">
        <v>42</v>
      </c>
      <c r="Q5" s="8">
        <v>45510.0</v>
      </c>
      <c r="R5" s="12" t="s">
        <v>31</v>
      </c>
    </row>
    <row r="6">
      <c r="A6" s="7" t="s">
        <v>43</v>
      </c>
      <c r="B6" s="7" t="s">
        <v>24</v>
      </c>
      <c r="C6" s="7" t="s">
        <v>25</v>
      </c>
      <c r="D6" s="8">
        <v>32.0</v>
      </c>
      <c r="E6" s="9">
        <v>44465.0</v>
      </c>
      <c r="F6" s="8">
        <v>53540.0</v>
      </c>
      <c r="G6" s="7" t="s">
        <v>29</v>
      </c>
      <c r="H6" s="10" t="s">
        <v>27</v>
      </c>
      <c r="K6" s="7" t="s">
        <v>44</v>
      </c>
      <c r="L6" s="13"/>
      <c r="M6" s="8">
        <v>37.0</v>
      </c>
      <c r="N6" s="7" t="s">
        <v>40</v>
      </c>
      <c r="O6" s="11">
        <v>44085.0</v>
      </c>
      <c r="P6" s="7" t="s">
        <v>39</v>
      </c>
      <c r="Q6" s="8">
        <v>115440.0</v>
      </c>
      <c r="R6" s="12" t="s">
        <v>31</v>
      </c>
    </row>
    <row r="7">
      <c r="A7" s="7" t="s">
        <v>45</v>
      </c>
      <c r="B7" s="7" t="s">
        <v>35</v>
      </c>
      <c r="C7" s="7" t="s">
        <v>33</v>
      </c>
      <c r="D7" s="8">
        <v>30.0</v>
      </c>
      <c r="E7" s="9">
        <v>44861.0</v>
      </c>
      <c r="F7" s="8">
        <v>112570.0</v>
      </c>
      <c r="G7" s="7" t="s">
        <v>29</v>
      </c>
      <c r="H7" s="10" t="s">
        <v>27</v>
      </c>
      <c r="K7" s="7" t="s">
        <v>46</v>
      </c>
      <c r="L7" s="7" t="s">
        <v>35</v>
      </c>
      <c r="M7" s="8">
        <v>38.0</v>
      </c>
      <c r="N7" s="7" t="s">
        <v>26</v>
      </c>
      <c r="O7" s="15">
        <v>44268.0</v>
      </c>
      <c r="P7" s="7" t="s">
        <v>25</v>
      </c>
      <c r="Q7" s="8">
        <v>56870.0</v>
      </c>
      <c r="R7" s="12" t="s">
        <v>31</v>
      </c>
    </row>
    <row r="8">
      <c r="A8" s="7" t="s">
        <v>47</v>
      </c>
      <c r="B8" s="7" t="s">
        <v>24</v>
      </c>
      <c r="C8" s="7" t="s">
        <v>33</v>
      </c>
      <c r="D8" s="8">
        <v>33.0</v>
      </c>
      <c r="E8" s="9">
        <v>44701.0</v>
      </c>
      <c r="F8" s="8">
        <v>48530.0</v>
      </c>
      <c r="G8" s="7" t="s">
        <v>26</v>
      </c>
      <c r="H8" s="10" t="s">
        <v>27</v>
      </c>
      <c r="K8" s="7" t="s">
        <v>48</v>
      </c>
      <c r="L8" s="7" t="s">
        <v>35</v>
      </c>
      <c r="M8" s="8">
        <v>25.0</v>
      </c>
      <c r="N8" s="7" t="s">
        <v>29</v>
      </c>
      <c r="O8" s="11">
        <v>44144.0</v>
      </c>
      <c r="P8" s="7" t="s">
        <v>25</v>
      </c>
      <c r="Q8" s="8">
        <v>92700.0</v>
      </c>
      <c r="R8" s="12" t="s">
        <v>31</v>
      </c>
    </row>
    <row r="9">
      <c r="A9" s="7" t="s">
        <v>49</v>
      </c>
      <c r="B9" s="7" t="s">
        <v>35</v>
      </c>
      <c r="C9" s="7" t="s">
        <v>30</v>
      </c>
      <c r="D9" s="8">
        <v>24.0</v>
      </c>
      <c r="E9" s="9">
        <v>44148.0</v>
      </c>
      <c r="F9" s="8">
        <v>62780.0</v>
      </c>
      <c r="G9" s="7" t="s">
        <v>29</v>
      </c>
      <c r="H9" s="10" t="s">
        <v>27</v>
      </c>
      <c r="K9" s="7" t="s">
        <v>50</v>
      </c>
      <c r="L9" s="13"/>
      <c r="M9" s="8">
        <v>32.0</v>
      </c>
      <c r="N9" s="7" t="s">
        <v>29</v>
      </c>
      <c r="O9" s="11">
        <v>44713.0</v>
      </c>
      <c r="P9" s="7" t="s">
        <v>30</v>
      </c>
      <c r="Q9" s="8">
        <v>91310.0</v>
      </c>
      <c r="R9" s="12" t="s">
        <v>31</v>
      </c>
    </row>
    <row r="10">
      <c r="A10" s="7" t="s">
        <v>51</v>
      </c>
      <c r="B10" s="7" t="s">
        <v>24</v>
      </c>
      <c r="C10" s="7" t="s">
        <v>30</v>
      </c>
      <c r="D10" s="8">
        <v>33.0</v>
      </c>
      <c r="E10" s="9">
        <v>44509.0</v>
      </c>
      <c r="F10" s="8">
        <v>53870.0</v>
      </c>
      <c r="G10" s="7" t="s">
        <v>29</v>
      </c>
      <c r="H10" s="10" t="s">
        <v>27</v>
      </c>
      <c r="K10" s="7" t="s">
        <v>52</v>
      </c>
      <c r="L10" s="7" t="s">
        <v>24</v>
      </c>
      <c r="M10" s="8">
        <v>33.0</v>
      </c>
      <c r="N10" s="7" t="s">
        <v>29</v>
      </c>
      <c r="O10" s="11">
        <v>44324.0</v>
      </c>
      <c r="P10" s="7" t="s">
        <v>25</v>
      </c>
      <c r="Q10" s="8">
        <v>74550.0</v>
      </c>
      <c r="R10" s="12" t="s">
        <v>31</v>
      </c>
    </row>
    <row r="11">
      <c r="A11" s="7" t="s">
        <v>53</v>
      </c>
      <c r="B11" s="7" t="s">
        <v>35</v>
      </c>
      <c r="C11" s="7" t="s">
        <v>42</v>
      </c>
      <c r="D11" s="8">
        <v>27.0</v>
      </c>
      <c r="E11" s="9">
        <v>44122.0</v>
      </c>
      <c r="F11" s="8">
        <v>119110.0</v>
      </c>
      <c r="G11" s="7" t="s">
        <v>29</v>
      </c>
      <c r="H11" s="10" t="s">
        <v>27</v>
      </c>
      <c r="K11" s="7" t="s">
        <v>54</v>
      </c>
      <c r="L11" s="7" t="s">
        <v>24</v>
      </c>
      <c r="M11" s="8">
        <v>25.0</v>
      </c>
      <c r="N11" s="7" t="s">
        <v>26</v>
      </c>
      <c r="O11" s="11">
        <v>44665.0</v>
      </c>
      <c r="P11" s="7" t="s">
        <v>33</v>
      </c>
      <c r="Q11" s="8">
        <v>109190.0</v>
      </c>
      <c r="R11" s="12" t="s">
        <v>31</v>
      </c>
    </row>
    <row r="12">
      <c r="A12" s="7" t="s">
        <v>55</v>
      </c>
      <c r="B12" s="7" t="s">
        <v>24</v>
      </c>
      <c r="C12" s="7" t="s">
        <v>30</v>
      </c>
      <c r="D12" s="8">
        <v>29.0</v>
      </c>
      <c r="E12" s="9">
        <v>44180.0</v>
      </c>
      <c r="F12" s="8">
        <v>112110.0</v>
      </c>
      <c r="G12" s="7" t="s">
        <v>40</v>
      </c>
      <c r="H12" s="10" t="s">
        <v>27</v>
      </c>
      <c r="K12" s="7" t="s">
        <v>56</v>
      </c>
      <c r="L12" s="7" t="s">
        <v>35</v>
      </c>
      <c r="M12" s="8">
        <v>40.0</v>
      </c>
      <c r="N12" s="7" t="s">
        <v>29</v>
      </c>
      <c r="O12" s="11">
        <v>44320.0</v>
      </c>
      <c r="P12" s="7" t="s">
        <v>30</v>
      </c>
      <c r="Q12" s="8">
        <v>104410.0</v>
      </c>
      <c r="R12" s="12" t="s">
        <v>31</v>
      </c>
    </row>
    <row r="13">
      <c r="A13" s="7" t="s">
        <v>57</v>
      </c>
      <c r="B13" s="7" t="s">
        <v>24</v>
      </c>
      <c r="C13" s="7" t="s">
        <v>25</v>
      </c>
      <c r="D13" s="8">
        <v>25.0</v>
      </c>
      <c r="E13" s="9">
        <v>44383.0</v>
      </c>
      <c r="F13" s="8">
        <v>65700.0</v>
      </c>
      <c r="G13" s="7" t="s">
        <v>29</v>
      </c>
      <c r="H13" s="10" t="s">
        <v>27</v>
      </c>
      <c r="K13" s="7" t="s">
        <v>58</v>
      </c>
      <c r="L13" s="7" t="s">
        <v>24</v>
      </c>
      <c r="M13" s="8">
        <v>30.0</v>
      </c>
      <c r="N13" s="7" t="s">
        <v>29</v>
      </c>
      <c r="O13" s="11">
        <v>44544.0</v>
      </c>
      <c r="P13" s="7" t="s">
        <v>39</v>
      </c>
      <c r="Q13" s="8">
        <v>96800.0</v>
      </c>
      <c r="R13" s="12" t="s">
        <v>31</v>
      </c>
    </row>
    <row r="14">
      <c r="A14" s="7" t="s">
        <v>59</v>
      </c>
      <c r="B14" s="7" t="s">
        <v>24</v>
      </c>
      <c r="C14" s="7" t="s">
        <v>30</v>
      </c>
      <c r="D14" s="8">
        <v>37.0</v>
      </c>
      <c r="E14" s="9">
        <v>44701.0</v>
      </c>
      <c r="F14" s="8">
        <v>69070.0</v>
      </c>
      <c r="G14" s="7" t="s">
        <v>29</v>
      </c>
      <c r="H14" s="10" t="s">
        <v>27</v>
      </c>
      <c r="K14" s="7" t="s">
        <v>60</v>
      </c>
      <c r="L14" s="7" t="s">
        <v>24</v>
      </c>
      <c r="M14" s="8">
        <v>28.0</v>
      </c>
      <c r="N14" s="7" t="s">
        <v>26</v>
      </c>
      <c r="O14" s="14">
        <v>43980.0</v>
      </c>
      <c r="P14" s="7" t="s">
        <v>39</v>
      </c>
      <c r="Q14" s="8">
        <v>48170.0</v>
      </c>
      <c r="R14" s="12" t="s">
        <v>31</v>
      </c>
    </row>
    <row r="15">
      <c r="A15" s="7" t="s">
        <v>61</v>
      </c>
      <c r="B15" s="7" t="s">
        <v>24</v>
      </c>
      <c r="C15" s="7" t="s">
        <v>30</v>
      </c>
      <c r="D15" s="8">
        <v>20.0</v>
      </c>
      <c r="E15" s="9">
        <v>44459.0</v>
      </c>
      <c r="F15" s="8">
        <v>107700.0</v>
      </c>
      <c r="G15" s="7" t="s">
        <v>29</v>
      </c>
      <c r="H15" s="10" t="s">
        <v>27</v>
      </c>
      <c r="K15" s="7" t="s">
        <v>62</v>
      </c>
      <c r="L15" s="7" t="s">
        <v>24</v>
      </c>
      <c r="M15" s="8">
        <v>21.0</v>
      </c>
      <c r="N15" s="7" t="s">
        <v>29</v>
      </c>
      <c r="O15" s="11">
        <v>44042.0</v>
      </c>
      <c r="P15" s="7" t="s">
        <v>33</v>
      </c>
      <c r="Q15" s="8">
        <v>37920.0</v>
      </c>
      <c r="R15" s="12" t="s">
        <v>31</v>
      </c>
    </row>
    <row r="16">
      <c r="A16" s="7" t="s">
        <v>63</v>
      </c>
      <c r="B16" s="7" t="s">
        <v>35</v>
      </c>
      <c r="C16" s="7" t="s">
        <v>30</v>
      </c>
      <c r="D16" s="8">
        <v>32.0</v>
      </c>
      <c r="E16" s="9">
        <v>44354.0</v>
      </c>
      <c r="F16" s="8">
        <v>43840.0</v>
      </c>
      <c r="G16" s="7" t="s">
        <v>26</v>
      </c>
      <c r="H16" s="10" t="s">
        <v>27</v>
      </c>
      <c r="K16" s="7" t="s">
        <v>64</v>
      </c>
      <c r="L16" s="7" t="s">
        <v>24</v>
      </c>
      <c r="M16" s="8">
        <v>34.0</v>
      </c>
      <c r="N16" s="7" t="s">
        <v>29</v>
      </c>
      <c r="O16" s="15">
        <v>44642.0</v>
      </c>
      <c r="P16" s="7" t="s">
        <v>33</v>
      </c>
      <c r="Q16" s="8">
        <v>112650.0</v>
      </c>
      <c r="R16" s="12" t="s">
        <v>31</v>
      </c>
    </row>
    <row r="17">
      <c r="A17" s="7" t="s">
        <v>65</v>
      </c>
      <c r="B17" s="7" t="s">
        <v>24</v>
      </c>
      <c r="C17" s="7" t="s">
        <v>33</v>
      </c>
      <c r="D17" s="8">
        <v>40.0</v>
      </c>
      <c r="E17" s="9">
        <v>44263.0</v>
      </c>
      <c r="F17" s="8">
        <v>99750.0</v>
      </c>
      <c r="G17" s="7" t="s">
        <v>29</v>
      </c>
      <c r="H17" s="10" t="s">
        <v>27</v>
      </c>
      <c r="K17" s="7" t="s">
        <v>66</v>
      </c>
      <c r="L17" s="7" t="s">
        <v>35</v>
      </c>
      <c r="M17" s="8">
        <v>34.0</v>
      </c>
      <c r="N17" s="7" t="s">
        <v>40</v>
      </c>
      <c r="O17" s="11">
        <v>44660.0</v>
      </c>
      <c r="P17" s="7" t="s">
        <v>25</v>
      </c>
      <c r="Q17" s="8">
        <v>49630.0</v>
      </c>
      <c r="R17" s="12" t="s">
        <v>31</v>
      </c>
    </row>
    <row r="18">
      <c r="A18" s="7" t="s">
        <v>67</v>
      </c>
      <c r="B18" s="7" t="s">
        <v>24</v>
      </c>
      <c r="C18" s="7" t="s">
        <v>33</v>
      </c>
      <c r="D18" s="8">
        <v>21.0</v>
      </c>
      <c r="E18" s="9">
        <v>44104.0</v>
      </c>
      <c r="F18" s="8">
        <v>37920.0</v>
      </c>
      <c r="G18" s="7" t="s">
        <v>29</v>
      </c>
      <c r="H18" s="10" t="s">
        <v>27</v>
      </c>
      <c r="K18" s="7" t="s">
        <v>68</v>
      </c>
      <c r="L18" s="7" t="s">
        <v>24</v>
      </c>
      <c r="M18" s="8">
        <v>36.0</v>
      </c>
      <c r="N18" s="7" t="s">
        <v>29</v>
      </c>
      <c r="O18" s="11">
        <v>43958.0</v>
      </c>
      <c r="P18" s="7" t="s">
        <v>30</v>
      </c>
      <c r="Q18" s="8">
        <v>118840.0</v>
      </c>
      <c r="R18" s="12" t="s">
        <v>31</v>
      </c>
    </row>
    <row r="19">
      <c r="A19" s="7" t="s">
        <v>69</v>
      </c>
      <c r="B19" s="7" t="s">
        <v>24</v>
      </c>
      <c r="C19" s="7" t="s">
        <v>33</v>
      </c>
      <c r="D19" s="8">
        <v>21.0</v>
      </c>
      <c r="E19" s="9">
        <v>44762.0</v>
      </c>
      <c r="F19" s="8">
        <v>57090.0</v>
      </c>
      <c r="G19" s="7" t="s">
        <v>29</v>
      </c>
      <c r="H19" s="10" t="s">
        <v>27</v>
      </c>
      <c r="K19" s="7" t="s">
        <v>70</v>
      </c>
      <c r="L19" s="7" t="s">
        <v>24</v>
      </c>
      <c r="M19" s="8">
        <v>30.0</v>
      </c>
      <c r="N19" s="7" t="s">
        <v>29</v>
      </c>
      <c r="O19" s="15">
        <v>44789.0</v>
      </c>
      <c r="P19" s="7" t="s">
        <v>30</v>
      </c>
      <c r="Q19" s="8">
        <v>69710.0</v>
      </c>
      <c r="R19" s="12" t="s">
        <v>31</v>
      </c>
    </row>
    <row r="20">
      <c r="A20" s="7" t="s">
        <v>71</v>
      </c>
      <c r="B20" s="7" t="s">
        <v>35</v>
      </c>
      <c r="C20" s="7" t="s">
        <v>30</v>
      </c>
      <c r="D20" s="8">
        <v>31.0</v>
      </c>
      <c r="E20" s="9">
        <v>44145.0</v>
      </c>
      <c r="F20" s="8">
        <v>41980.0</v>
      </c>
      <c r="G20" s="7" t="s">
        <v>29</v>
      </c>
      <c r="H20" s="10" t="s">
        <v>27</v>
      </c>
      <c r="K20" s="7" t="s">
        <v>72</v>
      </c>
      <c r="L20" s="7" t="s">
        <v>24</v>
      </c>
      <c r="M20" s="8">
        <v>20.0</v>
      </c>
      <c r="N20" s="7" t="s">
        <v>29</v>
      </c>
      <c r="O20" s="11">
        <v>44683.0</v>
      </c>
      <c r="P20" s="7" t="s">
        <v>33</v>
      </c>
      <c r="Q20" s="8">
        <v>79570.0</v>
      </c>
      <c r="R20" s="12" t="s">
        <v>31</v>
      </c>
    </row>
    <row r="21">
      <c r="A21" s="7" t="s">
        <v>73</v>
      </c>
      <c r="B21" s="7" t="s">
        <v>24</v>
      </c>
      <c r="C21" s="7" t="s">
        <v>42</v>
      </c>
      <c r="D21" s="8">
        <v>21.0</v>
      </c>
      <c r="E21" s="9">
        <v>44242.0</v>
      </c>
      <c r="F21" s="8">
        <v>75880.0</v>
      </c>
      <c r="G21" s="7" t="s">
        <v>29</v>
      </c>
      <c r="H21" s="10" t="s">
        <v>27</v>
      </c>
      <c r="K21" s="7" t="s">
        <v>74</v>
      </c>
      <c r="L21" s="7" t="s">
        <v>35</v>
      </c>
      <c r="M21" s="8">
        <v>22.0</v>
      </c>
      <c r="N21" s="7" t="s">
        <v>26</v>
      </c>
      <c r="O21" s="11">
        <v>44388.0</v>
      </c>
      <c r="P21" s="7" t="s">
        <v>33</v>
      </c>
      <c r="Q21" s="8">
        <v>76900.0</v>
      </c>
      <c r="R21" s="12" t="s">
        <v>31</v>
      </c>
    </row>
    <row r="22">
      <c r="A22" s="7" t="s">
        <v>75</v>
      </c>
      <c r="B22" s="7" t="s">
        <v>35</v>
      </c>
      <c r="C22" s="7" t="s">
        <v>39</v>
      </c>
      <c r="D22" s="8">
        <v>34.0</v>
      </c>
      <c r="E22" s="9">
        <v>44653.0</v>
      </c>
      <c r="F22" s="8">
        <v>58940.0</v>
      </c>
      <c r="G22" s="7" t="s">
        <v>29</v>
      </c>
      <c r="H22" s="10" t="s">
        <v>27</v>
      </c>
      <c r="K22" s="7" t="s">
        <v>76</v>
      </c>
      <c r="L22" s="7" t="s">
        <v>24</v>
      </c>
      <c r="M22" s="8">
        <v>27.0</v>
      </c>
      <c r="N22" s="7" t="s">
        <v>29</v>
      </c>
      <c r="O22" s="15">
        <v>44073.0</v>
      </c>
      <c r="P22" s="7" t="s">
        <v>25</v>
      </c>
      <c r="Q22" s="8">
        <v>54970.0</v>
      </c>
      <c r="R22" s="12" t="s">
        <v>31</v>
      </c>
    </row>
    <row r="23">
      <c r="A23" s="7" t="s">
        <v>77</v>
      </c>
      <c r="B23" s="7" t="s">
        <v>35</v>
      </c>
      <c r="C23" s="7" t="s">
        <v>39</v>
      </c>
      <c r="D23" s="8">
        <v>30.0</v>
      </c>
      <c r="E23" s="9">
        <v>44389.0</v>
      </c>
      <c r="F23" s="8">
        <v>67910.0</v>
      </c>
      <c r="G23" s="7" t="s">
        <v>40</v>
      </c>
      <c r="H23" s="10" t="s">
        <v>27</v>
      </c>
      <c r="K23" s="7" t="s">
        <v>78</v>
      </c>
      <c r="L23" s="7" t="s">
        <v>24</v>
      </c>
      <c r="M23" s="8">
        <v>37.0</v>
      </c>
      <c r="N23" s="7" t="s">
        <v>40</v>
      </c>
      <c r="O23" s="15">
        <v>44277.0</v>
      </c>
      <c r="P23" s="7" t="s">
        <v>30</v>
      </c>
      <c r="Q23" s="8">
        <v>88050.0</v>
      </c>
      <c r="R23" s="12" t="s">
        <v>31</v>
      </c>
    </row>
    <row r="24">
      <c r="A24" s="7" t="s">
        <v>79</v>
      </c>
      <c r="B24" s="7" t="s">
        <v>35</v>
      </c>
      <c r="C24" s="7" t="s">
        <v>30</v>
      </c>
      <c r="D24" s="8">
        <v>31.0</v>
      </c>
      <c r="E24" s="9">
        <v>44663.0</v>
      </c>
      <c r="F24" s="8">
        <v>58100.0</v>
      </c>
      <c r="G24" s="7" t="s">
        <v>29</v>
      </c>
      <c r="H24" s="10" t="s">
        <v>27</v>
      </c>
      <c r="K24" s="7" t="s">
        <v>80</v>
      </c>
      <c r="L24" s="7" t="s">
        <v>24</v>
      </c>
      <c r="M24" s="8">
        <v>43.0</v>
      </c>
      <c r="N24" s="7" t="s">
        <v>29</v>
      </c>
      <c r="O24" s="11">
        <v>44558.0</v>
      </c>
      <c r="P24" s="7" t="s">
        <v>25</v>
      </c>
      <c r="Q24" s="8">
        <v>36040.0</v>
      </c>
      <c r="R24" s="12" t="s">
        <v>31</v>
      </c>
    </row>
    <row r="25">
      <c r="A25" s="7" t="s">
        <v>81</v>
      </c>
      <c r="B25" s="7" t="s">
        <v>24</v>
      </c>
      <c r="C25" s="7" t="s">
        <v>39</v>
      </c>
      <c r="D25" s="8">
        <v>27.0</v>
      </c>
      <c r="E25" s="9">
        <v>44567.0</v>
      </c>
      <c r="F25" s="8">
        <v>48980.0</v>
      </c>
      <c r="G25" s="7" t="s">
        <v>29</v>
      </c>
      <c r="H25" s="10" t="s">
        <v>27</v>
      </c>
      <c r="K25" s="7" t="s">
        <v>82</v>
      </c>
      <c r="L25" s="7" t="s">
        <v>35</v>
      </c>
      <c r="M25" s="8">
        <v>42.0</v>
      </c>
      <c r="N25" s="7" t="s">
        <v>83</v>
      </c>
      <c r="O25" s="11">
        <v>44718.0</v>
      </c>
      <c r="P25" s="7" t="s">
        <v>33</v>
      </c>
      <c r="Q25" s="8">
        <v>75000.0</v>
      </c>
      <c r="R25" s="12" t="s">
        <v>31</v>
      </c>
    </row>
    <row r="26">
      <c r="A26" s="7" t="s">
        <v>84</v>
      </c>
      <c r="B26" s="13"/>
      <c r="C26" s="7" t="s">
        <v>39</v>
      </c>
      <c r="D26" s="8">
        <v>30.0</v>
      </c>
      <c r="E26" s="9">
        <v>44597.0</v>
      </c>
      <c r="F26" s="8">
        <v>64000.0</v>
      </c>
      <c r="G26" s="7" t="s">
        <v>29</v>
      </c>
      <c r="H26" s="10" t="s">
        <v>27</v>
      </c>
      <c r="K26" s="7" t="s">
        <v>85</v>
      </c>
      <c r="L26" s="7" t="s">
        <v>24</v>
      </c>
      <c r="M26" s="8">
        <v>35.0</v>
      </c>
      <c r="N26" s="7" t="s">
        <v>29</v>
      </c>
      <c r="O26" s="11">
        <v>44666.0</v>
      </c>
      <c r="P26" s="7" t="s">
        <v>33</v>
      </c>
      <c r="Q26" s="8">
        <v>40400.0</v>
      </c>
      <c r="R26" s="12" t="s">
        <v>31</v>
      </c>
    </row>
    <row r="27">
      <c r="A27" s="7" t="s">
        <v>86</v>
      </c>
      <c r="B27" s="7" t="s">
        <v>35</v>
      </c>
      <c r="C27" s="7" t="s">
        <v>33</v>
      </c>
      <c r="D27" s="8">
        <v>42.0</v>
      </c>
      <c r="E27" s="9">
        <v>44779.0</v>
      </c>
      <c r="F27" s="8">
        <v>75000.0</v>
      </c>
      <c r="G27" s="7" t="s">
        <v>83</v>
      </c>
      <c r="H27" s="10" t="s">
        <v>27</v>
      </c>
      <c r="K27" s="7" t="s">
        <v>87</v>
      </c>
      <c r="L27" s="7" t="s">
        <v>24</v>
      </c>
      <c r="M27" s="8">
        <v>24.0</v>
      </c>
      <c r="N27" s="7" t="s">
        <v>29</v>
      </c>
      <c r="O27" s="11">
        <v>44625.0</v>
      </c>
      <c r="P27" s="7" t="s">
        <v>30</v>
      </c>
      <c r="Q27" s="8">
        <v>100420.0</v>
      </c>
      <c r="R27" s="12" t="s">
        <v>31</v>
      </c>
    </row>
    <row r="28">
      <c r="A28" s="7" t="s">
        <v>88</v>
      </c>
      <c r="B28" s="7" t="s">
        <v>35</v>
      </c>
      <c r="C28" s="7" t="s">
        <v>30</v>
      </c>
      <c r="D28" s="8">
        <v>40.0</v>
      </c>
      <c r="E28" s="9">
        <v>44337.0</v>
      </c>
      <c r="F28" s="8">
        <v>87620.0</v>
      </c>
      <c r="G28" s="7" t="s">
        <v>29</v>
      </c>
      <c r="H28" s="10" t="s">
        <v>27</v>
      </c>
      <c r="K28" s="7" t="s">
        <v>89</v>
      </c>
      <c r="L28" s="7" t="s">
        <v>35</v>
      </c>
      <c r="M28" s="8">
        <v>31.0</v>
      </c>
      <c r="N28" s="7" t="s">
        <v>29</v>
      </c>
      <c r="O28" s="11">
        <v>44604.0</v>
      </c>
      <c r="P28" s="7" t="s">
        <v>30</v>
      </c>
      <c r="Q28" s="8">
        <v>58100.0</v>
      </c>
      <c r="R28" s="12" t="s">
        <v>31</v>
      </c>
    </row>
    <row r="29">
      <c r="A29" s="7" t="s">
        <v>90</v>
      </c>
      <c r="B29" s="7" t="s">
        <v>35</v>
      </c>
      <c r="C29" s="7" t="s">
        <v>30</v>
      </c>
      <c r="D29" s="8">
        <v>29.0</v>
      </c>
      <c r="E29" s="9">
        <v>44023.0</v>
      </c>
      <c r="F29" s="8">
        <v>34980.0</v>
      </c>
      <c r="G29" s="7" t="s">
        <v>29</v>
      </c>
      <c r="H29" s="10" t="s">
        <v>27</v>
      </c>
      <c r="K29" s="7" t="s">
        <v>91</v>
      </c>
      <c r="L29" s="7" t="s">
        <v>35</v>
      </c>
      <c r="M29" s="8">
        <v>44.0</v>
      </c>
      <c r="N29" s="7" t="s">
        <v>29</v>
      </c>
      <c r="O29" s="11">
        <v>44985.0</v>
      </c>
      <c r="P29" s="7" t="s">
        <v>30</v>
      </c>
      <c r="Q29" s="8">
        <v>114870.0</v>
      </c>
      <c r="R29" s="12" t="s">
        <v>31</v>
      </c>
    </row>
    <row r="30">
      <c r="A30" s="7" t="s">
        <v>92</v>
      </c>
      <c r="B30" s="7" t="s">
        <v>35</v>
      </c>
      <c r="C30" s="7" t="s">
        <v>39</v>
      </c>
      <c r="D30" s="8">
        <v>28.0</v>
      </c>
      <c r="E30" s="9">
        <v>44185.0</v>
      </c>
      <c r="F30" s="8">
        <v>75970.0</v>
      </c>
      <c r="G30" s="7" t="s">
        <v>29</v>
      </c>
      <c r="H30" s="10" t="s">
        <v>27</v>
      </c>
      <c r="K30" s="7" t="s">
        <v>93</v>
      </c>
      <c r="L30" s="7" t="s">
        <v>35</v>
      </c>
      <c r="M30" s="8">
        <v>32.0</v>
      </c>
      <c r="N30" s="7" t="s">
        <v>29</v>
      </c>
      <c r="O30" s="11">
        <v>44549.0</v>
      </c>
      <c r="P30" s="7" t="s">
        <v>33</v>
      </c>
      <c r="Q30" s="8">
        <v>41570.0</v>
      </c>
      <c r="R30" s="12" t="s">
        <v>31</v>
      </c>
    </row>
    <row r="31">
      <c r="A31" s="7" t="s">
        <v>94</v>
      </c>
      <c r="B31" s="7" t="s">
        <v>35</v>
      </c>
      <c r="C31" s="7" t="s">
        <v>39</v>
      </c>
      <c r="D31" s="8">
        <v>34.0</v>
      </c>
      <c r="E31" s="9">
        <v>44612.0</v>
      </c>
      <c r="F31" s="8">
        <v>60130.0</v>
      </c>
      <c r="G31" s="7" t="s">
        <v>29</v>
      </c>
      <c r="H31" s="10" t="s">
        <v>27</v>
      </c>
      <c r="K31" s="7" t="s">
        <v>95</v>
      </c>
      <c r="L31" s="7" t="s">
        <v>35</v>
      </c>
      <c r="M31" s="8">
        <v>30.0</v>
      </c>
      <c r="N31" s="7" t="s">
        <v>29</v>
      </c>
      <c r="O31" s="15">
        <v>44800.0</v>
      </c>
      <c r="P31" s="7" t="s">
        <v>33</v>
      </c>
      <c r="Q31" s="8">
        <v>112570.0</v>
      </c>
      <c r="R31" s="12" t="s">
        <v>31</v>
      </c>
    </row>
    <row r="32">
      <c r="A32" s="7" t="s">
        <v>96</v>
      </c>
      <c r="B32" s="7" t="s">
        <v>35</v>
      </c>
      <c r="C32" s="7" t="s">
        <v>30</v>
      </c>
      <c r="D32" s="8">
        <v>33.0</v>
      </c>
      <c r="E32" s="9">
        <v>44374.0</v>
      </c>
      <c r="F32" s="8">
        <v>75480.0</v>
      </c>
      <c r="G32" s="7" t="s">
        <v>97</v>
      </c>
      <c r="H32" s="10" t="s">
        <v>27</v>
      </c>
      <c r="K32" s="7" t="s">
        <v>98</v>
      </c>
      <c r="L32" s="7" t="s">
        <v>24</v>
      </c>
      <c r="M32" s="8">
        <v>26.0</v>
      </c>
      <c r="N32" s="7" t="s">
        <v>29</v>
      </c>
      <c r="O32" s="15">
        <v>44164.0</v>
      </c>
      <c r="P32" s="7" t="s">
        <v>33</v>
      </c>
      <c r="Q32" s="8">
        <v>47360.0</v>
      </c>
      <c r="R32" s="12" t="s">
        <v>31</v>
      </c>
    </row>
    <row r="33">
      <c r="A33" s="7" t="s">
        <v>99</v>
      </c>
      <c r="B33" s="7" t="s">
        <v>24</v>
      </c>
      <c r="C33" s="7" t="s">
        <v>33</v>
      </c>
      <c r="D33" s="8">
        <v>33.0</v>
      </c>
      <c r="E33" s="9">
        <v>44164.0</v>
      </c>
      <c r="F33" s="8">
        <v>115920.0</v>
      </c>
      <c r="G33" s="7" t="s">
        <v>29</v>
      </c>
      <c r="H33" s="10" t="s">
        <v>27</v>
      </c>
      <c r="K33" s="7" t="s">
        <v>100</v>
      </c>
      <c r="L33" s="7" t="s">
        <v>35</v>
      </c>
      <c r="M33" s="8">
        <v>21.0</v>
      </c>
      <c r="N33" s="7" t="s">
        <v>29</v>
      </c>
      <c r="O33" s="11">
        <v>44256.0</v>
      </c>
      <c r="P33" s="7" t="s">
        <v>39</v>
      </c>
      <c r="Q33" s="8">
        <v>65920.0</v>
      </c>
      <c r="R33" s="12" t="s">
        <v>31</v>
      </c>
    </row>
    <row r="34">
      <c r="A34" s="7" t="s">
        <v>101</v>
      </c>
      <c r="B34" s="7" t="s">
        <v>35</v>
      </c>
      <c r="C34" s="7" t="s">
        <v>25</v>
      </c>
      <c r="D34" s="8">
        <v>36.0</v>
      </c>
      <c r="E34" s="9">
        <v>44494.0</v>
      </c>
      <c r="F34" s="8">
        <v>78540.0</v>
      </c>
      <c r="G34" s="7" t="s">
        <v>29</v>
      </c>
      <c r="H34" s="10" t="s">
        <v>27</v>
      </c>
      <c r="K34" s="7" t="s">
        <v>102</v>
      </c>
      <c r="L34" s="7" t="s">
        <v>35</v>
      </c>
      <c r="M34" s="8">
        <v>28.0</v>
      </c>
      <c r="N34" s="7" t="s">
        <v>29</v>
      </c>
      <c r="O34" s="11">
        <v>44571.0</v>
      </c>
      <c r="P34" s="7" t="s">
        <v>33</v>
      </c>
      <c r="Q34" s="8">
        <v>99970.0</v>
      </c>
      <c r="R34" s="12" t="s">
        <v>31</v>
      </c>
    </row>
    <row r="35">
      <c r="A35" s="7" t="s">
        <v>103</v>
      </c>
      <c r="B35" s="7" t="s">
        <v>24</v>
      </c>
      <c r="C35" s="7" t="s">
        <v>33</v>
      </c>
      <c r="D35" s="8">
        <v>25.0</v>
      </c>
      <c r="E35" s="9">
        <v>44726.0</v>
      </c>
      <c r="F35" s="8">
        <v>109190.0</v>
      </c>
      <c r="G35" s="7" t="s">
        <v>26</v>
      </c>
      <c r="H35" s="10" t="s">
        <v>27</v>
      </c>
      <c r="K35" s="7" t="s">
        <v>104</v>
      </c>
      <c r="L35" s="7" t="s">
        <v>35</v>
      </c>
      <c r="M35" s="8">
        <v>25.0</v>
      </c>
      <c r="N35" s="7" t="s">
        <v>26</v>
      </c>
      <c r="O35" s="15">
        <v>44633.0</v>
      </c>
      <c r="P35" s="7" t="s">
        <v>30</v>
      </c>
      <c r="Q35" s="8">
        <v>80700.0</v>
      </c>
      <c r="R35" s="12" t="s">
        <v>31</v>
      </c>
    </row>
    <row r="36">
      <c r="A36" s="7" t="s">
        <v>105</v>
      </c>
      <c r="B36" s="7" t="s">
        <v>35</v>
      </c>
      <c r="C36" s="7" t="s">
        <v>25</v>
      </c>
      <c r="D36" s="8">
        <v>34.0</v>
      </c>
      <c r="E36" s="9">
        <v>44721.0</v>
      </c>
      <c r="F36" s="8">
        <v>49630.0</v>
      </c>
      <c r="G36" s="7" t="s">
        <v>40</v>
      </c>
      <c r="H36" s="10" t="s">
        <v>27</v>
      </c>
      <c r="K36" s="7" t="s">
        <v>106</v>
      </c>
      <c r="L36" s="7" t="s">
        <v>24</v>
      </c>
      <c r="M36" s="8">
        <v>24.0</v>
      </c>
      <c r="N36" s="7" t="s">
        <v>40</v>
      </c>
      <c r="O36" s="11">
        <v>44375.0</v>
      </c>
      <c r="P36" s="7" t="s">
        <v>39</v>
      </c>
      <c r="Q36" s="8">
        <v>52610.0</v>
      </c>
      <c r="R36" s="12" t="s">
        <v>31</v>
      </c>
    </row>
    <row r="37">
      <c r="A37" s="7" t="s">
        <v>107</v>
      </c>
      <c r="B37" s="7" t="s">
        <v>35</v>
      </c>
      <c r="C37" s="7" t="s">
        <v>33</v>
      </c>
      <c r="D37" s="8">
        <v>28.0</v>
      </c>
      <c r="E37" s="9">
        <v>44630.0</v>
      </c>
      <c r="F37" s="8">
        <v>99970.0</v>
      </c>
      <c r="G37" s="7" t="s">
        <v>29</v>
      </c>
      <c r="H37" s="10" t="s">
        <v>27</v>
      </c>
      <c r="K37" s="7" t="s">
        <v>108</v>
      </c>
      <c r="L37" s="7" t="s">
        <v>24</v>
      </c>
      <c r="M37" s="8">
        <v>29.0</v>
      </c>
      <c r="N37" s="7" t="s">
        <v>40</v>
      </c>
      <c r="O37" s="11">
        <v>44119.0</v>
      </c>
      <c r="P37" s="7" t="s">
        <v>30</v>
      </c>
      <c r="Q37" s="8">
        <v>112110.0</v>
      </c>
      <c r="R37" s="12" t="s">
        <v>31</v>
      </c>
    </row>
    <row r="38">
      <c r="A38" s="7" t="s">
        <v>109</v>
      </c>
      <c r="B38" s="7" t="s">
        <v>35</v>
      </c>
      <c r="C38" s="7" t="s">
        <v>30</v>
      </c>
      <c r="D38" s="8">
        <v>33.0</v>
      </c>
      <c r="E38" s="9">
        <v>44190.0</v>
      </c>
      <c r="F38" s="8">
        <v>96140.0</v>
      </c>
      <c r="G38" s="7" t="s">
        <v>29</v>
      </c>
      <c r="H38" s="10" t="s">
        <v>27</v>
      </c>
      <c r="K38" s="7" t="s">
        <v>110</v>
      </c>
      <c r="L38" s="7" t="s">
        <v>35</v>
      </c>
      <c r="M38" s="8">
        <v>27.0</v>
      </c>
      <c r="N38" s="7" t="s">
        <v>29</v>
      </c>
      <c r="O38" s="15">
        <v>44061.0</v>
      </c>
      <c r="P38" s="7" t="s">
        <v>42</v>
      </c>
      <c r="Q38" s="8">
        <v>119110.0</v>
      </c>
      <c r="R38" s="12" t="s">
        <v>31</v>
      </c>
    </row>
    <row r="39">
      <c r="A39" s="7" t="s">
        <v>111</v>
      </c>
      <c r="B39" s="7" t="s">
        <v>24</v>
      </c>
      <c r="C39" s="7" t="s">
        <v>33</v>
      </c>
      <c r="D39" s="8">
        <v>31.0</v>
      </c>
      <c r="E39" s="9">
        <v>44724.0</v>
      </c>
      <c r="F39" s="8">
        <v>103550.0</v>
      </c>
      <c r="G39" s="7" t="s">
        <v>29</v>
      </c>
      <c r="H39" s="10" t="s">
        <v>27</v>
      </c>
      <c r="K39" s="7" t="s">
        <v>112</v>
      </c>
      <c r="L39" s="7" t="s">
        <v>24</v>
      </c>
      <c r="M39" s="8">
        <v>22.0</v>
      </c>
      <c r="N39" s="7" t="s">
        <v>26</v>
      </c>
      <c r="O39" s="11">
        <v>44384.0</v>
      </c>
      <c r="P39" s="7" t="s">
        <v>25</v>
      </c>
      <c r="Q39" s="8">
        <v>112780.0</v>
      </c>
      <c r="R39" s="12" t="s">
        <v>31</v>
      </c>
    </row>
    <row r="40">
      <c r="A40" s="7" t="s">
        <v>113</v>
      </c>
      <c r="B40" s="7" t="s">
        <v>24</v>
      </c>
      <c r="C40" s="7" t="s">
        <v>30</v>
      </c>
      <c r="D40" s="8">
        <v>31.0</v>
      </c>
      <c r="E40" s="9">
        <v>44511.0</v>
      </c>
      <c r="F40" s="8">
        <v>48950.0</v>
      </c>
      <c r="G40" s="7" t="s">
        <v>29</v>
      </c>
      <c r="H40" s="10" t="s">
        <v>27</v>
      </c>
      <c r="K40" s="7" t="s">
        <v>114</v>
      </c>
      <c r="L40" s="7" t="s">
        <v>35</v>
      </c>
      <c r="M40" s="8">
        <v>36.0</v>
      </c>
      <c r="N40" s="7" t="s">
        <v>29</v>
      </c>
      <c r="O40" s="11">
        <v>44023.0</v>
      </c>
      <c r="P40" s="7" t="s">
        <v>33</v>
      </c>
      <c r="Q40" s="8">
        <v>114890.0</v>
      </c>
      <c r="R40" s="12" t="s">
        <v>31</v>
      </c>
    </row>
    <row r="41">
      <c r="A41" s="7" t="s">
        <v>115</v>
      </c>
      <c r="B41" s="7" t="s">
        <v>24</v>
      </c>
      <c r="C41" s="7" t="s">
        <v>39</v>
      </c>
      <c r="D41" s="8">
        <v>24.0</v>
      </c>
      <c r="E41" s="9">
        <v>44436.0</v>
      </c>
      <c r="F41" s="8">
        <v>52610.0</v>
      </c>
      <c r="G41" s="7" t="s">
        <v>40</v>
      </c>
      <c r="H41" s="10" t="s">
        <v>27</v>
      </c>
      <c r="K41" s="7" t="s">
        <v>116</v>
      </c>
      <c r="L41" s="7" t="s">
        <v>24</v>
      </c>
      <c r="M41" s="8">
        <v>27.0</v>
      </c>
      <c r="N41" s="7" t="s">
        <v>29</v>
      </c>
      <c r="O41" s="11">
        <v>44506.0</v>
      </c>
      <c r="P41" s="7" t="s">
        <v>39</v>
      </c>
      <c r="Q41" s="8">
        <v>48980.0</v>
      </c>
      <c r="R41" s="12" t="s">
        <v>31</v>
      </c>
    </row>
    <row r="42">
      <c r="A42" s="7" t="s">
        <v>117</v>
      </c>
      <c r="B42" s="7" t="s">
        <v>35</v>
      </c>
      <c r="C42" s="7" t="s">
        <v>33</v>
      </c>
      <c r="D42" s="8">
        <v>36.0</v>
      </c>
      <c r="E42" s="9">
        <v>44529.0</v>
      </c>
      <c r="F42" s="8">
        <v>78390.0</v>
      </c>
      <c r="G42" s="7" t="s">
        <v>29</v>
      </c>
      <c r="H42" s="10" t="s">
        <v>27</v>
      </c>
      <c r="K42" s="7" t="s">
        <v>118</v>
      </c>
      <c r="L42" s="7" t="s">
        <v>24</v>
      </c>
      <c r="M42" s="8">
        <v>21.0</v>
      </c>
      <c r="N42" s="7" t="s">
        <v>29</v>
      </c>
      <c r="O42" s="11">
        <v>44180.0</v>
      </c>
      <c r="P42" s="7" t="s">
        <v>42</v>
      </c>
      <c r="Q42" s="8">
        <v>75880.0</v>
      </c>
      <c r="R42" s="12" t="s">
        <v>31</v>
      </c>
    </row>
    <row r="43">
      <c r="A43" s="7" t="s">
        <v>119</v>
      </c>
      <c r="B43" s="7" t="s">
        <v>35</v>
      </c>
      <c r="C43" s="7" t="s">
        <v>39</v>
      </c>
      <c r="D43" s="8">
        <v>33.0</v>
      </c>
      <c r="E43" s="9">
        <v>44809.0</v>
      </c>
      <c r="F43" s="8">
        <v>86570.0</v>
      </c>
      <c r="G43" s="7" t="s">
        <v>29</v>
      </c>
      <c r="H43" s="10" t="s">
        <v>27</v>
      </c>
      <c r="K43" s="7" t="s">
        <v>120</v>
      </c>
      <c r="L43" s="7" t="s">
        <v>35</v>
      </c>
      <c r="M43" s="8">
        <v>28.0</v>
      </c>
      <c r="N43" s="7" t="s">
        <v>29</v>
      </c>
      <c r="O43" s="11">
        <v>44296.0</v>
      </c>
      <c r="P43" s="7" t="s">
        <v>25</v>
      </c>
      <c r="Q43" s="8">
        <v>53240.0</v>
      </c>
      <c r="R43" s="12" t="s">
        <v>31</v>
      </c>
    </row>
    <row r="44">
      <c r="A44" s="7" t="s">
        <v>121</v>
      </c>
      <c r="B44" s="7" t="s">
        <v>35</v>
      </c>
      <c r="C44" s="7" t="s">
        <v>30</v>
      </c>
      <c r="D44" s="8">
        <v>27.0</v>
      </c>
      <c r="E44" s="9">
        <v>44686.0</v>
      </c>
      <c r="F44" s="8">
        <v>83750.0</v>
      </c>
      <c r="G44" s="7" t="s">
        <v>29</v>
      </c>
      <c r="H44" s="10" t="s">
        <v>27</v>
      </c>
      <c r="K44" s="7" t="s">
        <v>122</v>
      </c>
      <c r="L44" s="7" t="s">
        <v>35</v>
      </c>
      <c r="M44" s="8">
        <v>34.0</v>
      </c>
      <c r="N44" s="7" t="s">
        <v>29</v>
      </c>
      <c r="O44" s="11">
        <v>44397.0</v>
      </c>
      <c r="P44" s="7" t="s">
        <v>39</v>
      </c>
      <c r="Q44" s="8">
        <v>85000.0</v>
      </c>
      <c r="R44" s="12" t="s">
        <v>31</v>
      </c>
    </row>
    <row r="45">
      <c r="A45" s="7" t="s">
        <v>123</v>
      </c>
      <c r="B45" s="7" t="s">
        <v>35</v>
      </c>
      <c r="C45" s="7" t="s">
        <v>39</v>
      </c>
      <c r="D45" s="8">
        <v>34.0</v>
      </c>
      <c r="E45" s="9">
        <v>44445.0</v>
      </c>
      <c r="F45" s="8">
        <v>92450.0</v>
      </c>
      <c r="G45" s="7" t="s">
        <v>29</v>
      </c>
      <c r="H45" s="10" t="s">
        <v>27</v>
      </c>
      <c r="K45" s="7" t="s">
        <v>124</v>
      </c>
      <c r="L45" s="7" t="s">
        <v>35</v>
      </c>
      <c r="M45" s="8">
        <v>21.0</v>
      </c>
      <c r="N45" s="7" t="s">
        <v>29</v>
      </c>
      <c r="O45" s="11">
        <v>44619.0</v>
      </c>
      <c r="P45" s="7" t="s">
        <v>30</v>
      </c>
      <c r="Q45" s="8">
        <v>33920.0</v>
      </c>
      <c r="R45" s="12" t="s">
        <v>31</v>
      </c>
    </row>
    <row r="46">
      <c r="A46" s="7" t="s">
        <v>125</v>
      </c>
      <c r="B46" s="7" t="s">
        <v>24</v>
      </c>
      <c r="C46" s="7" t="s">
        <v>30</v>
      </c>
      <c r="D46" s="8">
        <v>20.0</v>
      </c>
      <c r="E46" s="9">
        <v>44183.0</v>
      </c>
      <c r="F46" s="8">
        <v>112650.0</v>
      </c>
      <c r="G46" s="7" t="s">
        <v>29</v>
      </c>
      <c r="H46" s="10" t="s">
        <v>27</v>
      </c>
      <c r="K46" s="7" t="s">
        <v>126</v>
      </c>
      <c r="L46" s="7" t="s">
        <v>35</v>
      </c>
      <c r="M46" s="8">
        <v>33.0</v>
      </c>
      <c r="N46" s="7" t="s">
        <v>29</v>
      </c>
      <c r="O46" s="11">
        <v>44253.0</v>
      </c>
      <c r="P46" s="7" t="s">
        <v>30</v>
      </c>
      <c r="Q46" s="8">
        <v>75280.0</v>
      </c>
      <c r="R46" s="12" t="s">
        <v>31</v>
      </c>
    </row>
    <row r="47">
      <c r="A47" s="7" t="s">
        <v>127</v>
      </c>
      <c r="B47" s="7" t="s">
        <v>24</v>
      </c>
      <c r="C47" s="7" t="s">
        <v>33</v>
      </c>
      <c r="D47" s="8">
        <v>20.0</v>
      </c>
      <c r="E47" s="9">
        <v>44744.0</v>
      </c>
      <c r="F47" s="8">
        <v>79570.0</v>
      </c>
      <c r="G47" s="7" t="s">
        <v>29</v>
      </c>
      <c r="H47" s="10" t="s">
        <v>27</v>
      </c>
      <c r="K47" s="7" t="s">
        <v>128</v>
      </c>
      <c r="L47" s="7" t="s">
        <v>35</v>
      </c>
      <c r="M47" s="8">
        <v>34.0</v>
      </c>
      <c r="N47" s="7" t="s">
        <v>29</v>
      </c>
      <c r="O47" s="11">
        <v>44594.0</v>
      </c>
      <c r="P47" s="7" t="s">
        <v>39</v>
      </c>
      <c r="Q47" s="8">
        <v>58940.0</v>
      </c>
      <c r="R47" s="12" t="s">
        <v>31</v>
      </c>
    </row>
    <row r="48">
      <c r="A48" s="7" t="s">
        <v>129</v>
      </c>
      <c r="B48" s="7" t="s">
        <v>35</v>
      </c>
      <c r="C48" s="7" t="s">
        <v>25</v>
      </c>
      <c r="D48" s="8">
        <v>20.0</v>
      </c>
      <c r="E48" s="9">
        <v>44537.0</v>
      </c>
      <c r="F48" s="8">
        <v>68900.0</v>
      </c>
      <c r="G48" s="7" t="s">
        <v>40</v>
      </c>
      <c r="H48" s="10" t="s">
        <v>27</v>
      </c>
      <c r="K48" s="7" t="s">
        <v>130</v>
      </c>
      <c r="L48" s="7" t="s">
        <v>35</v>
      </c>
      <c r="M48" s="8">
        <v>28.0</v>
      </c>
      <c r="N48" s="7" t="s">
        <v>29</v>
      </c>
      <c r="O48" s="15">
        <v>44425.0</v>
      </c>
      <c r="P48" s="7" t="s">
        <v>33</v>
      </c>
      <c r="Q48" s="8">
        <v>104770.0</v>
      </c>
      <c r="R48" s="12" t="s">
        <v>31</v>
      </c>
    </row>
    <row r="49">
      <c r="A49" s="7" t="s">
        <v>131</v>
      </c>
      <c r="B49" s="7" t="s">
        <v>35</v>
      </c>
      <c r="C49" s="7" t="s">
        <v>30</v>
      </c>
      <c r="D49" s="8">
        <v>25.0</v>
      </c>
      <c r="E49" s="9">
        <v>44694.0</v>
      </c>
      <c r="F49" s="8">
        <v>80700.0</v>
      </c>
      <c r="G49" s="7" t="s">
        <v>26</v>
      </c>
      <c r="H49" s="10" t="s">
        <v>27</v>
      </c>
      <c r="K49" s="7" t="s">
        <v>132</v>
      </c>
      <c r="L49" s="7" t="s">
        <v>24</v>
      </c>
      <c r="M49" s="8">
        <v>21.0</v>
      </c>
      <c r="N49" s="7" t="s">
        <v>29</v>
      </c>
      <c r="O49" s="14">
        <v>44701.0</v>
      </c>
      <c r="P49" s="7" t="s">
        <v>33</v>
      </c>
      <c r="Q49" s="8">
        <v>57090.0</v>
      </c>
      <c r="R49" s="12" t="s">
        <v>31</v>
      </c>
    </row>
    <row r="50">
      <c r="A50" s="7" t="s">
        <v>133</v>
      </c>
      <c r="B50" s="7" t="s">
        <v>24</v>
      </c>
      <c r="C50" s="7" t="s">
        <v>33</v>
      </c>
      <c r="D50" s="8">
        <v>19.0</v>
      </c>
      <c r="E50" s="9">
        <v>44277.0</v>
      </c>
      <c r="F50" s="8">
        <v>58960.0</v>
      </c>
      <c r="G50" s="7" t="s">
        <v>29</v>
      </c>
      <c r="H50" s="10" t="s">
        <v>27</v>
      </c>
      <c r="K50" s="7" t="s">
        <v>134</v>
      </c>
      <c r="L50" s="7" t="s">
        <v>24</v>
      </c>
      <c r="M50" s="8">
        <v>27.0</v>
      </c>
      <c r="N50" s="7" t="s">
        <v>26</v>
      </c>
      <c r="O50" s="11">
        <v>44174.0</v>
      </c>
      <c r="P50" s="7" t="s">
        <v>39</v>
      </c>
      <c r="Q50" s="8">
        <v>91650.0</v>
      </c>
      <c r="R50" s="12" t="s">
        <v>31</v>
      </c>
    </row>
    <row r="51">
      <c r="A51" s="7" t="s">
        <v>135</v>
      </c>
      <c r="B51" s="7" t="s">
        <v>24</v>
      </c>
      <c r="C51" s="7" t="s">
        <v>30</v>
      </c>
      <c r="D51" s="8">
        <v>36.0</v>
      </c>
      <c r="E51" s="9">
        <v>44019.0</v>
      </c>
      <c r="F51" s="8">
        <v>118840.0</v>
      </c>
      <c r="G51" s="7" t="s">
        <v>29</v>
      </c>
      <c r="H51" s="10" t="s">
        <v>27</v>
      </c>
      <c r="K51" s="7" t="s">
        <v>136</v>
      </c>
      <c r="L51" s="7" t="s">
        <v>24</v>
      </c>
      <c r="M51" s="8">
        <v>42.0</v>
      </c>
      <c r="N51" s="7" t="s">
        <v>40</v>
      </c>
      <c r="O51" s="11">
        <v>44670.0</v>
      </c>
      <c r="P51" s="7" t="s">
        <v>39</v>
      </c>
      <c r="Q51" s="8">
        <v>70270.0</v>
      </c>
      <c r="R51" s="12" t="s">
        <v>31</v>
      </c>
    </row>
    <row r="52">
      <c r="A52" s="7" t="s">
        <v>137</v>
      </c>
      <c r="B52" s="7" t="s">
        <v>24</v>
      </c>
      <c r="C52" s="7" t="s">
        <v>39</v>
      </c>
      <c r="D52" s="8">
        <v>28.0</v>
      </c>
      <c r="E52" s="9">
        <v>44041.0</v>
      </c>
      <c r="F52" s="8">
        <v>48170.0</v>
      </c>
      <c r="G52" s="7" t="s">
        <v>26</v>
      </c>
      <c r="H52" s="10" t="s">
        <v>27</v>
      </c>
      <c r="K52" s="7" t="s">
        <v>138</v>
      </c>
      <c r="L52" s="7" t="s">
        <v>35</v>
      </c>
      <c r="M52" s="8">
        <v>28.0</v>
      </c>
      <c r="N52" s="7" t="s">
        <v>29</v>
      </c>
      <c r="O52" s="11">
        <v>44124.0</v>
      </c>
      <c r="P52" s="7" t="s">
        <v>39</v>
      </c>
      <c r="Q52" s="8">
        <v>75970.0</v>
      </c>
      <c r="R52" s="12" t="s">
        <v>31</v>
      </c>
    </row>
    <row r="53">
      <c r="A53" s="7" t="s">
        <v>139</v>
      </c>
      <c r="B53" s="7" t="s">
        <v>35</v>
      </c>
      <c r="C53" s="7" t="s">
        <v>42</v>
      </c>
      <c r="D53" s="8">
        <v>32.0</v>
      </c>
      <c r="E53" s="9">
        <v>44400.0</v>
      </c>
      <c r="F53" s="8">
        <v>45510.0</v>
      </c>
      <c r="G53" s="7" t="s">
        <v>29</v>
      </c>
      <c r="H53" s="10" t="s">
        <v>27</v>
      </c>
      <c r="K53" s="7" t="s">
        <v>140</v>
      </c>
      <c r="L53" s="13"/>
      <c r="M53" s="8">
        <v>27.0</v>
      </c>
      <c r="N53" s="7" t="s">
        <v>26</v>
      </c>
      <c r="O53" s="11">
        <v>44212.0</v>
      </c>
      <c r="P53" s="7" t="s">
        <v>30</v>
      </c>
      <c r="Q53" s="8">
        <v>90700.0</v>
      </c>
      <c r="R53" s="12" t="s">
        <v>31</v>
      </c>
    </row>
    <row r="54">
      <c r="A54" s="7" t="s">
        <v>125</v>
      </c>
      <c r="B54" s="7" t="s">
        <v>24</v>
      </c>
      <c r="C54" s="7" t="s">
        <v>33</v>
      </c>
      <c r="D54" s="8">
        <v>34.0</v>
      </c>
      <c r="E54" s="9">
        <v>44703.0</v>
      </c>
      <c r="F54" s="8">
        <v>112650.0</v>
      </c>
      <c r="G54" s="7" t="s">
        <v>29</v>
      </c>
      <c r="H54" s="10" t="s">
        <v>27</v>
      </c>
      <c r="K54" s="7" t="s">
        <v>141</v>
      </c>
      <c r="L54" s="7" t="s">
        <v>24</v>
      </c>
      <c r="M54" s="8">
        <v>30.0</v>
      </c>
      <c r="N54" s="7" t="s">
        <v>29</v>
      </c>
      <c r="O54" s="11">
        <v>44607.0</v>
      </c>
      <c r="P54" s="7" t="s">
        <v>33</v>
      </c>
      <c r="Q54" s="8">
        <v>60570.0</v>
      </c>
      <c r="R54" s="12" t="s">
        <v>31</v>
      </c>
    </row>
    <row r="55">
      <c r="A55" s="7" t="s">
        <v>142</v>
      </c>
      <c r="B55" s="7" t="s">
        <v>35</v>
      </c>
      <c r="C55" s="7" t="s">
        <v>33</v>
      </c>
      <c r="D55" s="8">
        <v>36.0</v>
      </c>
      <c r="E55" s="9">
        <v>44085.0</v>
      </c>
      <c r="F55" s="8">
        <v>114890.0</v>
      </c>
      <c r="G55" s="7" t="s">
        <v>29</v>
      </c>
      <c r="H55" s="10" t="s">
        <v>27</v>
      </c>
      <c r="K55" s="7" t="s">
        <v>143</v>
      </c>
      <c r="L55" s="7" t="s">
        <v>24</v>
      </c>
      <c r="M55" s="8">
        <v>33.0</v>
      </c>
      <c r="N55" s="7" t="s">
        <v>29</v>
      </c>
      <c r="O55" s="11">
        <v>44103.0</v>
      </c>
      <c r="P55" s="7" t="s">
        <v>33</v>
      </c>
      <c r="Q55" s="8">
        <v>115920.0</v>
      </c>
      <c r="R55" s="12" t="s">
        <v>31</v>
      </c>
    </row>
    <row r="56">
      <c r="A56" s="7" t="s">
        <v>144</v>
      </c>
      <c r="B56" s="7" t="s">
        <v>24</v>
      </c>
      <c r="C56" s="7" t="s">
        <v>30</v>
      </c>
      <c r="D56" s="8">
        <v>30.0</v>
      </c>
      <c r="E56" s="9">
        <v>44850.0</v>
      </c>
      <c r="F56" s="8">
        <v>69710.0</v>
      </c>
      <c r="G56" s="7" t="s">
        <v>29</v>
      </c>
      <c r="H56" s="10" t="s">
        <v>27</v>
      </c>
      <c r="K56" s="7" t="s">
        <v>145</v>
      </c>
      <c r="L56" s="7" t="s">
        <v>35</v>
      </c>
      <c r="M56" s="8">
        <v>33.0</v>
      </c>
      <c r="N56" s="7" t="s">
        <v>29</v>
      </c>
      <c r="O56" s="11">
        <v>44006.0</v>
      </c>
      <c r="P56" s="7" t="s">
        <v>39</v>
      </c>
      <c r="Q56" s="8">
        <v>65360.0</v>
      </c>
      <c r="R56" s="12" t="s">
        <v>31</v>
      </c>
    </row>
    <row r="57">
      <c r="A57" s="7" t="s">
        <v>146</v>
      </c>
      <c r="B57" s="7" t="s">
        <v>24</v>
      </c>
      <c r="C57" s="7" t="s">
        <v>39</v>
      </c>
      <c r="D57" s="8">
        <v>36.0</v>
      </c>
      <c r="E57" s="9">
        <v>44333.0</v>
      </c>
      <c r="F57" s="8">
        <v>71380.0</v>
      </c>
      <c r="G57" s="7" t="s">
        <v>29</v>
      </c>
      <c r="H57" s="10" t="s">
        <v>27</v>
      </c>
      <c r="K57" s="7" t="s">
        <v>147</v>
      </c>
      <c r="L57" s="13"/>
      <c r="M57" s="8">
        <v>30.0</v>
      </c>
      <c r="N57" s="7" t="s">
        <v>29</v>
      </c>
      <c r="O57" s="11">
        <v>44535.0</v>
      </c>
      <c r="P57" s="7" t="s">
        <v>39</v>
      </c>
      <c r="Q57" s="8">
        <v>64000.0</v>
      </c>
      <c r="R57" s="12" t="s">
        <v>31</v>
      </c>
    </row>
    <row r="58">
      <c r="A58" s="7" t="s">
        <v>148</v>
      </c>
      <c r="B58" s="7" t="s">
        <v>35</v>
      </c>
      <c r="C58" s="7" t="s">
        <v>25</v>
      </c>
      <c r="D58" s="8">
        <v>38.0</v>
      </c>
      <c r="E58" s="9">
        <v>44377.0</v>
      </c>
      <c r="F58" s="8">
        <v>109160.0</v>
      </c>
      <c r="G58" s="7" t="s">
        <v>83</v>
      </c>
      <c r="H58" s="10" t="s">
        <v>27</v>
      </c>
      <c r="K58" s="7" t="s">
        <v>149</v>
      </c>
      <c r="L58" s="7" t="s">
        <v>35</v>
      </c>
      <c r="M58" s="8">
        <v>34.0</v>
      </c>
      <c r="N58" s="7" t="s">
        <v>29</v>
      </c>
      <c r="O58" s="11">
        <v>44383.0</v>
      </c>
      <c r="P58" s="7" t="s">
        <v>39</v>
      </c>
      <c r="Q58" s="8">
        <v>92450.0</v>
      </c>
      <c r="R58" s="12" t="s">
        <v>31</v>
      </c>
    </row>
    <row r="59">
      <c r="A59" s="7" t="s">
        <v>150</v>
      </c>
      <c r="B59" s="7" t="s">
        <v>24</v>
      </c>
      <c r="C59" s="7" t="s">
        <v>33</v>
      </c>
      <c r="D59" s="8">
        <v>27.0</v>
      </c>
      <c r="E59" s="9">
        <v>44609.0</v>
      </c>
      <c r="F59" s="8">
        <v>113280.0</v>
      </c>
      <c r="G59" s="7" t="s">
        <v>97</v>
      </c>
      <c r="H59" s="10" t="s">
        <v>27</v>
      </c>
      <c r="K59" s="7" t="s">
        <v>151</v>
      </c>
      <c r="L59" s="7" t="s">
        <v>24</v>
      </c>
      <c r="M59" s="8">
        <v>31.0</v>
      </c>
      <c r="N59" s="7" t="s">
        <v>29</v>
      </c>
      <c r="O59" s="11">
        <v>44450.0</v>
      </c>
      <c r="P59" s="7" t="s">
        <v>30</v>
      </c>
      <c r="Q59" s="8">
        <v>48950.0</v>
      </c>
      <c r="R59" s="12" t="s">
        <v>31</v>
      </c>
    </row>
    <row r="60">
      <c r="A60" s="7" t="s">
        <v>152</v>
      </c>
      <c r="B60" s="7" t="s">
        <v>24</v>
      </c>
      <c r="C60" s="7" t="s">
        <v>30</v>
      </c>
      <c r="D60" s="8">
        <v>30.0</v>
      </c>
      <c r="E60" s="9">
        <v>44273.0</v>
      </c>
      <c r="F60" s="8">
        <v>69120.0</v>
      </c>
      <c r="G60" s="7" t="s">
        <v>29</v>
      </c>
      <c r="H60" s="10" t="s">
        <v>27</v>
      </c>
      <c r="K60" s="7" t="s">
        <v>153</v>
      </c>
      <c r="L60" s="7" t="s">
        <v>35</v>
      </c>
      <c r="M60" s="8">
        <v>27.0</v>
      </c>
      <c r="N60" s="7" t="s">
        <v>29</v>
      </c>
      <c r="O60" s="11">
        <v>44625.0</v>
      </c>
      <c r="P60" s="7" t="s">
        <v>30</v>
      </c>
      <c r="Q60" s="8">
        <v>83750.0</v>
      </c>
      <c r="R60" s="12" t="s">
        <v>31</v>
      </c>
    </row>
    <row r="61">
      <c r="A61" s="7" t="s">
        <v>154</v>
      </c>
      <c r="B61" s="7" t="s">
        <v>35</v>
      </c>
      <c r="C61" s="7" t="s">
        <v>42</v>
      </c>
      <c r="D61" s="8">
        <v>37.0</v>
      </c>
      <c r="E61" s="9">
        <v>44451.0</v>
      </c>
      <c r="F61" s="8">
        <v>118100.0</v>
      </c>
      <c r="G61" s="7" t="s">
        <v>29</v>
      </c>
      <c r="H61" s="10" t="s">
        <v>27</v>
      </c>
      <c r="K61" s="7" t="s">
        <v>155</v>
      </c>
      <c r="L61" s="7" t="s">
        <v>35</v>
      </c>
      <c r="M61" s="8">
        <v>40.0</v>
      </c>
      <c r="N61" s="7" t="s">
        <v>29</v>
      </c>
      <c r="O61" s="15">
        <v>44276.0</v>
      </c>
      <c r="P61" s="7" t="s">
        <v>30</v>
      </c>
      <c r="Q61" s="8">
        <v>87620.0</v>
      </c>
      <c r="R61" s="12" t="s">
        <v>31</v>
      </c>
    </row>
    <row r="62">
      <c r="A62" s="7" t="s">
        <v>156</v>
      </c>
      <c r="B62" s="7" t="s">
        <v>35</v>
      </c>
      <c r="C62" s="7" t="s">
        <v>33</v>
      </c>
      <c r="D62" s="8">
        <v>22.0</v>
      </c>
      <c r="E62" s="9">
        <v>44450.0</v>
      </c>
      <c r="F62" s="8">
        <v>76900.0</v>
      </c>
      <c r="G62" s="7" t="s">
        <v>26</v>
      </c>
      <c r="H62" s="10" t="s">
        <v>27</v>
      </c>
      <c r="K62" s="7" t="s">
        <v>157</v>
      </c>
      <c r="L62" s="7" t="s">
        <v>35</v>
      </c>
      <c r="M62" s="8">
        <v>20.0</v>
      </c>
      <c r="N62" s="7" t="s">
        <v>40</v>
      </c>
      <c r="O62" s="11">
        <v>44476.0</v>
      </c>
      <c r="P62" s="7" t="s">
        <v>25</v>
      </c>
      <c r="Q62" s="8">
        <v>68900.0</v>
      </c>
      <c r="R62" s="12" t="s">
        <v>31</v>
      </c>
    </row>
    <row r="63">
      <c r="A63" s="7" t="s">
        <v>158</v>
      </c>
      <c r="B63" s="7" t="s">
        <v>35</v>
      </c>
      <c r="C63" s="7" t="s">
        <v>30</v>
      </c>
      <c r="D63" s="8">
        <v>43.0</v>
      </c>
      <c r="E63" s="9">
        <v>45045.0</v>
      </c>
      <c r="F63" s="8">
        <v>114870.0</v>
      </c>
      <c r="G63" s="7" t="s">
        <v>29</v>
      </c>
      <c r="H63" s="10" t="s">
        <v>27</v>
      </c>
      <c r="K63" s="7" t="s">
        <v>159</v>
      </c>
      <c r="L63" s="7" t="s">
        <v>24</v>
      </c>
      <c r="M63" s="8">
        <v>32.0</v>
      </c>
      <c r="N63" s="7" t="s">
        <v>29</v>
      </c>
      <c r="O63" s="11">
        <v>44403.0</v>
      </c>
      <c r="P63" s="7" t="s">
        <v>25</v>
      </c>
      <c r="Q63" s="8">
        <v>53540.0</v>
      </c>
      <c r="R63" s="12" t="s">
        <v>31</v>
      </c>
    </row>
    <row r="64">
      <c r="A64" s="7" t="s">
        <v>160</v>
      </c>
      <c r="B64" s="13"/>
      <c r="C64" s="7" t="s">
        <v>30</v>
      </c>
      <c r="D64" s="8">
        <v>32.0</v>
      </c>
      <c r="E64" s="9">
        <v>44774.0</v>
      </c>
      <c r="F64" s="8">
        <v>91310.0</v>
      </c>
      <c r="G64" s="7" t="s">
        <v>29</v>
      </c>
      <c r="H64" s="10" t="s">
        <v>27</v>
      </c>
      <c r="K64" s="7" t="s">
        <v>161</v>
      </c>
      <c r="L64" s="7" t="s">
        <v>24</v>
      </c>
      <c r="M64" s="8">
        <v>28.0</v>
      </c>
      <c r="N64" s="7" t="s">
        <v>97</v>
      </c>
      <c r="O64" s="11">
        <v>44758.0</v>
      </c>
      <c r="P64" s="7" t="s">
        <v>25</v>
      </c>
      <c r="Q64" s="8">
        <v>43510.0</v>
      </c>
      <c r="R64" s="12" t="s">
        <v>31</v>
      </c>
    </row>
    <row r="65">
      <c r="A65" s="7" t="s">
        <v>162</v>
      </c>
      <c r="B65" s="7" t="s">
        <v>35</v>
      </c>
      <c r="C65" s="7" t="s">
        <v>33</v>
      </c>
      <c r="D65" s="8">
        <v>28.0</v>
      </c>
      <c r="E65" s="9">
        <v>44486.0</v>
      </c>
      <c r="F65" s="8">
        <v>104770.0</v>
      </c>
      <c r="G65" s="7" t="s">
        <v>29</v>
      </c>
      <c r="H65" s="10" t="s">
        <v>27</v>
      </c>
      <c r="K65" s="7" t="s">
        <v>163</v>
      </c>
      <c r="L65" s="7" t="s">
        <v>35</v>
      </c>
      <c r="M65" s="8">
        <v>38.0</v>
      </c>
      <c r="N65" s="7" t="s">
        <v>83</v>
      </c>
      <c r="O65" s="11">
        <v>44316.0</v>
      </c>
      <c r="P65" s="7" t="s">
        <v>25</v>
      </c>
      <c r="Q65" s="8">
        <v>109160.0</v>
      </c>
      <c r="R65" s="12" t="s">
        <v>31</v>
      </c>
    </row>
    <row r="66">
      <c r="A66" s="7" t="s">
        <v>164</v>
      </c>
      <c r="B66" s="7" t="s">
        <v>24</v>
      </c>
      <c r="C66" s="7" t="s">
        <v>25</v>
      </c>
      <c r="D66" s="8">
        <v>27.0</v>
      </c>
      <c r="E66" s="9">
        <v>44134.0</v>
      </c>
      <c r="F66" s="8">
        <v>54970.0</v>
      </c>
      <c r="G66" s="7" t="s">
        <v>29</v>
      </c>
      <c r="H66" s="10" t="s">
        <v>27</v>
      </c>
      <c r="K66" s="7" t="s">
        <v>165</v>
      </c>
      <c r="L66" s="7" t="s">
        <v>24</v>
      </c>
      <c r="M66" s="8">
        <v>40.0</v>
      </c>
      <c r="N66" s="7" t="s">
        <v>29</v>
      </c>
      <c r="O66" s="11">
        <v>44204.0</v>
      </c>
      <c r="P66" s="7" t="s">
        <v>33</v>
      </c>
      <c r="Q66" s="8">
        <v>99750.0</v>
      </c>
      <c r="R66" s="12" t="s">
        <v>31</v>
      </c>
    </row>
    <row r="67">
      <c r="A67" s="7" t="s">
        <v>166</v>
      </c>
      <c r="B67" s="13"/>
      <c r="C67" s="7" t="s">
        <v>30</v>
      </c>
      <c r="D67" s="8">
        <v>26.0</v>
      </c>
      <c r="E67" s="9">
        <v>44271.0</v>
      </c>
      <c r="F67" s="8">
        <v>90700.0</v>
      </c>
      <c r="G67" s="7" t="s">
        <v>26</v>
      </c>
      <c r="H67" s="10" t="s">
        <v>27</v>
      </c>
      <c r="K67" s="7" t="s">
        <v>167</v>
      </c>
      <c r="L67" s="7" t="s">
        <v>35</v>
      </c>
      <c r="M67" s="8">
        <v>31.0</v>
      </c>
      <c r="N67" s="7" t="s">
        <v>29</v>
      </c>
      <c r="O67" s="11">
        <v>44084.0</v>
      </c>
      <c r="P67" s="7" t="s">
        <v>30</v>
      </c>
      <c r="Q67" s="8">
        <v>41980.0</v>
      </c>
      <c r="R67" s="12" t="s">
        <v>31</v>
      </c>
    </row>
    <row r="68">
      <c r="A68" s="7" t="s">
        <v>168</v>
      </c>
      <c r="B68" s="7" t="s">
        <v>35</v>
      </c>
      <c r="C68" s="7" t="s">
        <v>25</v>
      </c>
      <c r="D68" s="8">
        <v>38.0</v>
      </c>
      <c r="E68" s="9">
        <v>44329.0</v>
      </c>
      <c r="F68" s="8">
        <v>56870.0</v>
      </c>
      <c r="G68" s="7" t="s">
        <v>26</v>
      </c>
      <c r="H68" s="10" t="s">
        <v>27</v>
      </c>
      <c r="K68" s="7" t="s">
        <v>169</v>
      </c>
      <c r="L68" s="7" t="s">
        <v>24</v>
      </c>
      <c r="M68" s="8">
        <v>36.0</v>
      </c>
      <c r="N68" s="7" t="s">
        <v>29</v>
      </c>
      <c r="O68" s="15">
        <v>44272.0</v>
      </c>
      <c r="P68" s="7" t="s">
        <v>39</v>
      </c>
      <c r="Q68" s="8">
        <v>71380.0</v>
      </c>
      <c r="R68" s="12" t="s">
        <v>31</v>
      </c>
    </row>
    <row r="69">
      <c r="A69" s="7" t="s">
        <v>170</v>
      </c>
      <c r="B69" s="7" t="s">
        <v>35</v>
      </c>
      <c r="C69" s="7" t="s">
        <v>25</v>
      </c>
      <c r="D69" s="8">
        <v>25.0</v>
      </c>
      <c r="E69" s="9">
        <v>44205.0</v>
      </c>
      <c r="F69" s="8">
        <v>92700.0</v>
      </c>
      <c r="G69" s="7" t="s">
        <v>29</v>
      </c>
      <c r="H69" s="10" t="s">
        <v>27</v>
      </c>
      <c r="K69" s="7" t="s">
        <v>171</v>
      </c>
      <c r="L69" s="7" t="s">
        <v>24</v>
      </c>
      <c r="M69" s="8">
        <v>27.0</v>
      </c>
      <c r="N69" s="7" t="s">
        <v>97</v>
      </c>
      <c r="O69" s="11">
        <v>44547.0</v>
      </c>
      <c r="P69" s="7" t="s">
        <v>33</v>
      </c>
      <c r="Q69" s="8">
        <v>113280.0</v>
      </c>
      <c r="R69" s="12" t="s">
        <v>31</v>
      </c>
    </row>
    <row r="70">
      <c r="A70" s="7" t="s">
        <v>172</v>
      </c>
      <c r="B70" s="7" t="s">
        <v>35</v>
      </c>
      <c r="C70" s="7" t="s">
        <v>39</v>
      </c>
      <c r="D70" s="8">
        <v>21.0</v>
      </c>
      <c r="E70" s="9">
        <v>44317.0</v>
      </c>
      <c r="F70" s="8">
        <v>65920.0</v>
      </c>
      <c r="G70" s="7" t="s">
        <v>29</v>
      </c>
      <c r="H70" s="10" t="s">
        <v>27</v>
      </c>
      <c r="K70" s="7" t="s">
        <v>173</v>
      </c>
      <c r="L70" s="7" t="s">
        <v>35</v>
      </c>
      <c r="M70" s="8">
        <v>33.0</v>
      </c>
      <c r="N70" s="7" t="s">
        <v>29</v>
      </c>
      <c r="O70" s="11">
        <v>44747.0</v>
      </c>
      <c r="P70" s="7" t="s">
        <v>39</v>
      </c>
      <c r="Q70" s="8">
        <v>86570.0</v>
      </c>
      <c r="R70" s="12" t="s">
        <v>31</v>
      </c>
    </row>
    <row r="71">
      <c r="A71" s="7" t="s">
        <v>174</v>
      </c>
      <c r="B71" s="7" t="s">
        <v>24</v>
      </c>
      <c r="C71" s="7" t="s">
        <v>33</v>
      </c>
      <c r="D71" s="8">
        <v>26.0</v>
      </c>
      <c r="E71" s="9">
        <v>44225.0</v>
      </c>
      <c r="F71" s="8">
        <v>47360.0</v>
      </c>
      <c r="G71" s="7" t="s">
        <v>29</v>
      </c>
      <c r="H71" s="10" t="s">
        <v>27</v>
      </c>
      <c r="K71" s="7" t="s">
        <v>175</v>
      </c>
      <c r="L71" s="7" t="s">
        <v>24</v>
      </c>
      <c r="M71" s="8">
        <v>26.0</v>
      </c>
      <c r="N71" s="7" t="s">
        <v>29</v>
      </c>
      <c r="O71" s="11">
        <v>44350.0</v>
      </c>
      <c r="P71" s="7" t="s">
        <v>33</v>
      </c>
      <c r="Q71" s="8">
        <v>53540.0</v>
      </c>
      <c r="R71" s="12" t="s">
        <v>31</v>
      </c>
    </row>
    <row r="72">
      <c r="A72" s="7" t="s">
        <v>176</v>
      </c>
      <c r="B72" s="7" t="s">
        <v>24</v>
      </c>
      <c r="C72" s="7" t="s">
        <v>33</v>
      </c>
      <c r="D72" s="8">
        <v>30.0</v>
      </c>
      <c r="E72" s="9">
        <v>44666.0</v>
      </c>
      <c r="F72" s="8">
        <v>60570.0</v>
      </c>
      <c r="G72" s="7" t="s">
        <v>29</v>
      </c>
      <c r="H72" s="10" t="s">
        <v>27</v>
      </c>
      <c r="K72" s="7" t="s">
        <v>177</v>
      </c>
      <c r="L72" s="7" t="s">
        <v>24</v>
      </c>
      <c r="M72" s="8">
        <v>37.0</v>
      </c>
      <c r="N72" s="7" t="s">
        <v>29</v>
      </c>
      <c r="O72" s="15">
        <v>44640.0</v>
      </c>
      <c r="P72" s="7" t="s">
        <v>30</v>
      </c>
      <c r="Q72" s="8">
        <v>69070.0</v>
      </c>
      <c r="R72" s="12" t="s">
        <v>31</v>
      </c>
    </row>
    <row r="73">
      <c r="A73" s="7" t="s">
        <v>178</v>
      </c>
      <c r="B73" s="7" t="s">
        <v>35</v>
      </c>
      <c r="C73" s="7" t="s">
        <v>33</v>
      </c>
      <c r="D73" s="8">
        <v>28.0</v>
      </c>
      <c r="E73" s="9">
        <v>44649.0</v>
      </c>
      <c r="F73" s="8">
        <v>104120.0</v>
      </c>
      <c r="G73" s="7" t="s">
        <v>29</v>
      </c>
      <c r="H73" s="10" t="s">
        <v>27</v>
      </c>
      <c r="K73" s="7" t="s">
        <v>179</v>
      </c>
      <c r="L73" s="7" t="s">
        <v>35</v>
      </c>
      <c r="M73" s="8">
        <v>30.0</v>
      </c>
      <c r="N73" s="7" t="s">
        <v>40</v>
      </c>
      <c r="O73" s="14">
        <v>44328.0</v>
      </c>
      <c r="P73" s="7" t="s">
        <v>39</v>
      </c>
      <c r="Q73" s="8">
        <v>67910.0</v>
      </c>
      <c r="R73" s="12" t="s">
        <v>31</v>
      </c>
    </row>
    <row r="74">
      <c r="A74" s="7" t="s">
        <v>180</v>
      </c>
      <c r="B74" s="7" t="s">
        <v>24</v>
      </c>
      <c r="C74" s="7" t="s">
        <v>30</v>
      </c>
      <c r="D74" s="8">
        <v>37.0</v>
      </c>
      <c r="E74" s="9">
        <v>44338.0</v>
      </c>
      <c r="F74" s="8">
        <v>88050.0</v>
      </c>
      <c r="G74" s="7" t="s">
        <v>40</v>
      </c>
      <c r="H74" s="10" t="s">
        <v>27</v>
      </c>
      <c r="K74" s="7" t="s">
        <v>181</v>
      </c>
      <c r="L74" s="7" t="s">
        <v>24</v>
      </c>
      <c r="M74" s="8">
        <v>30.0</v>
      </c>
      <c r="N74" s="7" t="s">
        <v>29</v>
      </c>
      <c r="O74" s="11">
        <v>44214.0</v>
      </c>
      <c r="P74" s="7" t="s">
        <v>30</v>
      </c>
      <c r="Q74" s="8">
        <v>69120.0</v>
      </c>
      <c r="R74" s="12" t="s">
        <v>31</v>
      </c>
    </row>
    <row r="75">
      <c r="A75" s="7" t="s">
        <v>182</v>
      </c>
      <c r="B75" s="7" t="s">
        <v>24</v>
      </c>
      <c r="C75" s="7" t="s">
        <v>30</v>
      </c>
      <c r="D75" s="8">
        <v>24.0</v>
      </c>
      <c r="E75" s="9">
        <v>44686.0</v>
      </c>
      <c r="F75" s="8">
        <v>100420.0</v>
      </c>
      <c r="G75" s="7" t="s">
        <v>29</v>
      </c>
      <c r="H75" s="10" t="s">
        <v>27</v>
      </c>
      <c r="K75" s="7" t="s">
        <v>183</v>
      </c>
      <c r="L75" s="7" t="s">
        <v>35</v>
      </c>
      <c r="M75" s="8">
        <v>34.0</v>
      </c>
      <c r="N75" s="7" t="s">
        <v>29</v>
      </c>
      <c r="O75" s="11">
        <v>44550.0</v>
      </c>
      <c r="P75" s="7" t="s">
        <v>39</v>
      </c>
      <c r="Q75" s="8">
        <v>60130.0</v>
      </c>
      <c r="R75" s="12" t="s">
        <v>31</v>
      </c>
    </row>
    <row r="76">
      <c r="A76" s="7" t="s">
        <v>184</v>
      </c>
      <c r="B76" s="7" t="s">
        <v>35</v>
      </c>
      <c r="C76" s="7" t="s">
        <v>33</v>
      </c>
      <c r="D76" s="8">
        <v>30.0</v>
      </c>
      <c r="E76" s="9">
        <v>44850.0</v>
      </c>
      <c r="F76" s="8">
        <v>114180.0</v>
      </c>
      <c r="G76" s="7" t="s">
        <v>29</v>
      </c>
      <c r="H76" s="10" t="s">
        <v>27</v>
      </c>
      <c r="K76" s="7" t="s">
        <v>185</v>
      </c>
      <c r="L76" s="7" t="s">
        <v>24</v>
      </c>
      <c r="M76" s="8">
        <v>23.0</v>
      </c>
      <c r="N76" s="7" t="s">
        <v>29</v>
      </c>
      <c r="O76" s="11">
        <v>44378.0</v>
      </c>
      <c r="P76" s="7" t="s">
        <v>33</v>
      </c>
      <c r="Q76" s="8">
        <v>106460.0</v>
      </c>
      <c r="R76" s="12" t="s">
        <v>31</v>
      </c>
    </row>
    <row r="77">
      <c r="A77" s="7" t="s">
        <v>186</v>
      </c>
      <c r="B77" s="7" t="s">
        <v>35</v>
      </c>
      <c r="C77" s="7" t="s">
        <v>30</v>
      </c>
      <c r="D77" s="8">
        <v>21.0</v>
      </c>
      <c r="E77" s="9">
        <v>44678.0</v>
      </c>
      <c r="F77" s="8">
        <v>33920.0</v>
      </c>
      <c r="G77" s="7" t="s">
        <v>29</v>
      </c>
      <c r="H77" s="10" t="s">
        <v>27</v>
      </c>
      <c r="K77" s="7" t="s">
        <v>187</v>
      </c>
      <c r="L77" s="7" t="s">
        <v>35</v>
      </c>
      <c r="M77" s="8">
        <v>37.0</v>
      </c>
      <c r="N77" s="7" t="s">
        <v>29</v>
      </c>
      <c r="O77" s="11">
        <v>44389.0</v>
      </c>
      <c r="P77" s="7" t="s">
        <v>42</v>
      </c>
      <c r="Q77" s="8">
        <v>118100.0</v>
      </c>
      <c r="R77" s="12" t="s">
        <v>31</v>
      </c>
    </row>
    <row r="78">
      <c r="A78" s="7" t="s">
        <v>188</v>
      </c>
      <c r="B78" s="7" t="s">
        <v>24</v>
      </c>
      <c r="C78" s="7" t="s">
        <v>33</v>
      </c>
      <c r="D78" s="8">
        <v>23.0</v>
      </c>
      <c r="E78" s="9">
        <v>44440.0</v>
      </c>
      <c r="F78" s="8">
        <v>106460.0</v>
      </c>
      <c r="G78" s="7" t="s">
        <v>29</v>
      </c>
      <c r="H78" s="10" t="s">
        <v>27</v>
      </c>
      <c r="K78" s="7" t="s">
        <v>189</v>
      </c>
      <c r="L78" s="7" t="s">
        <v>35</v>
      </c>
      <c r="M78" s="8">
        <v>36.0</v>
      </c>
      <c r="N78" s="7" t="s">
        <v>29</v>
      </c>
      <c r="O78" s="11">
        <v>44468.0</v>
      </c>
      <c r="P78" s="7" t="s">
        <v>33</v>
      </c>
      <c r="Q78" s="8">
        <v>78390.0</v>
      </c>
      <c r="R78" s="12" t="s">
        <v>31</v>
      </c>
    </row>
    <row r="79">
      <c r="A79" s="7" t="s">
        <v>190</v>
      </c>
      <c r="B79" s="7" t="s">
        <v>24</v>
      </c>
      <c r="C79" s="7" t="s">
        <v>33</v>
      </c>
      <c r="D79" s="8">
        <v>35.0</v>
      </c>
      <c r="E79" s="9">
        <v>44727.0</v>
      </c>
      <c r="F79" s="8">
        <v>40400.0</v>
      </c>
      <c r="G79" s="7" t="s">
        <v>29</v>
      </c>
      <c r="H79" s="10" t="s">
        <v>27</v>
      </c>
      <c r="K79" s="7" t="s">
        <v>191</v>
      </c>
      <c r="L79" s="7" t="s">
        <v>35</v>
      </c>
      <c r="M79" s="8">
        <v>30.0</v>
      </c>
      <c r="N79" s="7" t="s">
        <v>29</v>
      </c>
      <c r="O79" s="15">
        <v>44789.0</v>
      </c>
      <c r="P79" s="7" t="s">
        <v>33</v>
      </c>
      <c r="Q79" s="8">
        <v>114180.0</v>
      </c>
      <c r="R79" s="12" t="s">
        <v>31</v>
      </c>
    </row>
    <row r="80">
      <c r="A80" s="7" t="s">
        <v>192</v>
      </c>
      <c r="B80" s="7" t="s">
        <v>24</v>
      </c>
      <c r="C80" s="7" t="s">
        <v>39</v>
      </c>
      <c r="D80" s="8">
        <v>27.0</v>
      </c>
      <c r="E80" s="9">
        <v>44236.0</v>
      </c>
      <c r="F80" s="8">
        <v>91650.0</v>
      </c>
      <c r="G80" s="7" t="s">
        <v>26</v>
      </c>
      <c r="H80" s="10" t="s">
        <v>27</v>
      </c>
      <c r="K80" s="7" t="s">
        <v>193</v>
      </c>
      <c r="L80" s="7" t="s">
        <v>35</v>
      </c>
      <c r="M80" s="8">
        <v>28.0</v>
      </c>
      <c r="N80" s="7" t="s">
        <v>29</v>
      </c>
      <c r="O80" s="11">
        <v>44590.0</v>
      </c>
      <c r="P80" s="7" t="s">
        <v>33</v>
      </c>
      <c r="Q80" s="8">
        <v>104120.0</v>
      </c>
      <c r="R80" s="12" t="s">
        <v>31</v>
      </c>
    </row>
    <row r="81">
      <c r="A81" s="7" t="s">
        <v>194</v>
      </c>
      <c r="B81" s="7" t="s">
        <v>24</v>
      </c>
      <c r="C81" s="7" t="s">
        <v>25</v>
      </c>
      <c r="D81" s="8">
        <v>43.0</v>
      </c>
      <c r="E81" s="9">
        <v>44620.0</v>
      </c>
      <c r="F81" s="8">
        <v>36040.0</v>
      </c>
      <c r="G81" s="7" t="s">
        <v>29</v>
      </c>
      <c r="H81" s="10" t="s">
        <v>27</v>
      </c>
      <c r="K81" s="7" t="s">
        <v>195</v>
      </c>
      <c r="L81" s="7" t="s">
        <v>24</v>
      </c>
      <c r="M81" s="8">
        <v>30.0</v>
      </c>
      <c r="N81" s="7" t="s">
        <v>29</v>
      </c>
      <c r="O81" s="15">
        <v>44640.0</v>
      </c>
      <c r="P81" s="7" t="s">
        <v>33</v>
      </c>
      <c r="Q81" s="8">
        <v>67950.0</v>
      </c>
      <c r="R81" s="12" t="s">
        <v>31</v>
      </c>
    </row>
    <row r="82">
      <c r="A82" s="7" t="s">
        <v>196</v>
      </c>
      <c r="B82" s="7" t="s">
        <v>35</v>
      </c>
      <c r="C82" s="7" t="s">
        <v>30</v>
      </c>
      <c r="D82" s="8">
        <v>40.0</v>
      </c>
      <c r="E82" s="9">
        <v>44381.0</v>
      </c>
      <c r="F82" s="8">
        <v>104410.0</v>
      </c>
      <c r="G82" s="7" t="s">
        <v>29</v>
      </c>
      <c r="H82" s="10" t="s">
        <v>27</v>
      </c>
      <c r="K82" s="7" t="s">
        <v>197</v>
      </c>
      <c r="L82" s="7" t="s">
        <v>35</v>
      </c>
      <c r="M82" s="8">
        <v>29.0</v>
      </c>
      <c r="N82" s="7" t="s">
        <v>29</v>
      </c>
      <c r="O82" s="14">
        <v>43962.0</v>
      </c>
      <c r="P82" s="7" t="s">
        <v>30</v>
      </c>
      <c r="Q82" s="8">
        <v>34980.0</v>
      </c>
      <c r="R82" s="12" t="s">
        <v>31</v>
      </c>
    </row>
    <row r="83">
      <c r="A83" s="7" t="s">
        <v>198</v>
      </c>
      <c r="B83" s="7" t="s">
        <v>24</v>
      </c>
      <c r="C83" s="7" t="s">
        <v>39</v>
      </c>
      <c r="D83" s="8">
        <v>30.0</v>
      </c>
      <c r="E83" s="9">
        <v>44606.0</v>
      </c>
      <c r="F83" s="8">
        <v>96800.0</v>
      </c>
      <c r="G83" s="7" t="s">
        <v>29</v>
      </c>
      <c r="H83" s="10" t="s">
        <v>27</v>
      </c>
      <c r="K83" s="7" t="s">
        <v>199</v>
      </c>
      <c r="L83" s="7" t="s">
        <v>35</v>
      </c>
      <c r="M83" s="8">
        <v>24.0</v>
      </c>
      <c r="N83" s="7" t="s">
        <v>29</v>
      </c>
      <c r="O83" s="11">
        <v>44087.0</v>
      </c>
      <c r="P83" s="7" t="s">
        <v>30</v>
      </c>
      <c r="Q83" s="8">
        <v>62780.0</v>
      </c>
      <c r="R83" s="12" t="s">
        <v>31</v>
      </c>
    </row>
    <row r="84">
      <c r="A84" s="7" t="s">
        <v>200</v>
      </c>
      <c r="B84" s="7" t="s">
        <v>35</v>
      </c>
      <c r="C84" s="7" t="s">
        <v>39</v>
      </c>
      <c r="D84" s="8">
        <v>34.0</v>
      </c>
      <c r="E84" s="9">
        <v>44459.0</v>
      </c>
      <c r="F84" s="8">
        <v>85000.0</v>
      </c>
      <c r="G84" s="7" t="s">
        <v>29</v>
      </c>
      <c r="H84" s="10" t="s">
        <v>27</v>
      </c>
      <c r="K84" s="7" t="s">
        <v>201</v>
      </c>
      <c r="L84" s="7" t="s">
        <v>24</v>
      </c>
      <c r="M84" s="8">
        <v>20.0</v>
      </c>
      <c r="N84" s="7" t="s">
        <v>29</v>
      </c>
      <c r="O84" s="11">
        <v>44397.0</v>
      </c>
      <c r="P84" s="7" t="s">
        <v>30</v>
      </c>
      <c r="Q84" s="8">
        <v>107700.0</v>
      </c>
      <c r="R84" s="12" t="s">
        <v>31</v>
      </c>
    </row>
    <row r="85">
      <c r="A85" s="7" t="s">
        <v>202</v>
      </c>
      <c r="B85" s="7" t="s">
        <v>24</v>
      </c>
      <c r="C85" s="7" t="s">
        <v>25</v>
      </c>
      <c r="D85" s="8">
        <v>28.0</v>
      </c>
      <c r="E85" s="9">
        <v>44820.0</v>
      </c>
      <c r="F85" s="8">
        <v>43510.0</v>
      </c>
      <c r="G85" s="7" t="s">
        <v>97</v>
      </c>
      <c r="H85" s="10" t="s">
        <v>27</v>
      </c>
      <c r="K85" s="7" t="s">
        <v>203</v>
      </c>
      <c r="L85" s="7" t="s">
        <v>24</v>
      </c>
      <c r="M85" s="8">
        <v>25.0</v>
      </c>
      <c r="N85" s="7" t="s">
        <v>29</v>
      </c>
      <c r="O85" s="11">
        <v>44322.0</v>
      </c>
      <c r="P85" s="7" t="s">
        <v>25</v>
      </c>
      <c r="Q85" s="8">
        <v>65700.0</v>
      </c>
      <c r="R85" s="12" t="s">
        <v>31</v>
      </c>
    </row>
    <row r="86">
      <c r="A86" s="7" t="s">
        <v>204</v>
      </c>
      <c r="B86" s="7" t="s">
        <v>24</v>
      </c>
      <c r="C86" s="7" t="s">
        <v>39</v>
      </c>
      <c r="D86" s="8">
        <v>33.0</v>
      </c>
      <c r="E86" s="9">
        <v>44243.0</v>
      </c>
      <c r="F86" s="8">
        <v>59430.0</v>
      </c>
      <c r="G86" s="7" t="s">
        <v>29</v>
      </c>
      <c r="H86" s="10" t="s">
        <v>27</v>
      </c>
      <c r="K86" s="7" t="s">
        <v>205</v>
      </c>
      <c r="L86" s="7" t="s">
        <v>35</v>
      </c>
      <c r="M86" s="8">
        <v>33.0</v>
      </c>
      <c r="N86" s="7" t="s">
        <v>97</v>
      </c>
      <c r="O86" s="11">
        <v>44313.0</v>
      </c>
      <c r="P86" s="7" t="s">
        <v>30</v>
      </c>
      <c r="Q86" s="8">
        <v>75480.0</v>
      </c>
      <c r="R86" s="12" t="s">
        <v>31</v>
      </c>
    </row>
    <row r="87">
      <c r="A87" s="7" t="s">
        <v>206</v>
      </c>
      <c r="B87" s="7" t="s">
        <v>35</v>
      </c>
      <c r="C87" s="7" t="s">
        <v>39</v>
      </c>
      <c r="D87" s="8">
        <v>33.0</v>
      </c>
      <c r="E87" s="9">
        <v>44067.0</v>
      </c>
      <c r="F87" s="8">
        <v>65360.0</v>
      </c>
      <c r="G87" s="7" t="s">
        <v>29</v>
      </c>
      <c r="H87" s="10" t="s">
        <v>27</v>
      </c>
      <c r="K87" s="7" t="s">
        <v>207</v>
      </c>
      <c r="L87" s="7" t="s">
        <v>24</v>
      </c>
      <c r="M87" s="8">
        <v>33.0</v>
      </c>
      <c r="N87" s="7" t="s">
        <v>29</v>
      </c>
      <c r="O87" s="11">
        <v>44448.0</v>
      </c>
      <c r="P87" s="7" t="s">
        <v>30</v>
      </c>
      <c r="Q87" s="8">
        <v>53870.0</v>
      </c>
      <c r="R87" s="12" t="s">
        <v>31</v>
      </c>
    </row>
    <row r="88">
      <c r="A88" s="7" t="s">
        <v>208</v>
      </c>
      <c r="B88" s="7" t="s">
        <v>35</v>
      </c>
      <c r="C88" s="7" t="s">
        <v>33</v>
      </c>
      <c r="D88" s="8">
        <v>32.0</v>
      </c>
      <c r="E88" s="9">
        <v>44611.0</v>
      </c>
      <c r="F88" s="8">
        <v>41570.0</v>
      </c>
      <c r="G88" s="7" t="s">
        <v>29</v>
      </c>
      <c r="H88" s="10" t="s">
        <v>27</v>
      </c>
      <c r="K88" s="7" t="s">
        <v>209</v>
      </c>
      <c r="L88" s="7" t="s">
        <v>35</v>
      </c>
      <c r="M88" s="8">
        <v>36.0</v>
      </c>
      <c r="N88" s="7" t="s">
        <v>29</v>
      </c>
      <c r="O88" s="15">
        <v>44433.0</v>
      </c>
      <c r="P88" s="7" t="s">
        <v>25</v>
      </c>
      <c r="Q88" s="8">
        <v>78540.0</v>
      </c>
      <c r="R88" s="12" t="s">
        <v>31</v>
      </c>
    </row>
    <row r="89">
      <c r="A89" s="7" t="s">
        <v>210</v>
      </c>
      <c r="B89" s="7" t="s">
        <v>35</v>
      </c>
      <c r="C89" s="7" t="s">
        <v>30</v>
      </c>
      <c r="D89" s="8">
        <v>33.0</v>
      </c>
      <c r="E89" s="9">
        <v>44312.0</v>
      </c>
      <c r="F89" s="8">
        <v>75280.0</v>
      </c>
      <c r="G89" s="7" t="s">
        <v>29</v>
      </c>
      <c r="H89" s="10" t="s">
        <v>27</v>
      </c>
      <c r="K89" s="7" t="s">
        <v>211</v>
      </c>
      <c r="L89" s="7" t="s">
        <v>24</v>
      </c>
      <c r="M89" s="8">
        <v>19.0</v>
      </c>
      <c r="N89" s="7" t="s">
        <v>29</v>
      </c>
      <c r="O89" s="11">
        <v>44218.0</v>
      </c>
      <c r="P89" s="7" t="s">
        <v>33</v>
      </c>
      <c r="Q89" s="8">
        <v>58960.0</v>
      </c>
      <c r="R89" s="12" t="s">
        <v>31</v>
      </c>
    </row>
    <row r="90">
      <c r="A90" s="7" t="s">
        <v>212</v>
      </c>
      <c r="B90" s="7" t="s">
        <v>24</v>
      </c>
      <c r="C90" s="7" t="s">
        <v>25</v>
      </c>
      <c r="D90" s="8">
        <v>33.0</v>
      </c>
      <c r="E90" s="9">
        <v>44385.0</v>
      </c>
      <c r="F90" s="8">
        <v>74550.0</v>
      </c>
      <c r="G90" s="7" t="s">
        <v>29</v>
      </c>
      <c r="H90" s="10" t="s">
        <v>27</v>
      </c>
      <c r="K90" s="7" t="s">
        <v>213</v>
      </c>
      <c r="L90" s="7" t="s">
        <v>24</v>
      </c>
      <c r="M90" s="8">
        <v>46.0</v>
      </c>
      <c r="N90" s="7" t="s">
        <v>29</v>
      </c>
      <c r="O90" s="14">
        <v>44697.0</v>
      </c>
      <c r="P90" s="7" t="s">
        <v>33</v>
      </c>
      <c r="Q90" s="8">
        <v>70610.0</v>
      </c>
      <c r="R90" s="12" t="s">
        <v>31</v>
      </c>
    </row>
    <row r="91">
      <c r="A91" s="7" t="s">
        <v>214</v>
      </c>
      <c r="B91" s="7" t="s">
        <v>24</v>
      </c>
      <c r="C91" s="7" t="s">
        <v>33</v>
      </c>
      <c r="D91" s="8">
        <v>30.0</v>
      </c>
      <c r="E91" s="9">
        <v>44701.0</v>
      </c>
      <c r="F91" s="8">
        <v>67950.0</v>
      </c>
      <c r="G91" s="7" t="s">
        <v>29</v>
      </c>
      <c r="H91" s="10" t="s">
        <v>27</v>
      </c>
      <c r="K91" s="7" t="s">
        <v>215</v>
      </c>
      <c r="L91" s="7" t="s">
        <v>24</v>
      </c>
      <c r="M91" s="8">
        <v>33.0</v>
      </c>
      <c r="N91" s="7" t="s">
        <v>29</v>
      </c>
      <c r="O91" s="11">
        <v>44181.0</v>
      </c>
      <c r="P91" s="7" t="s">
        <v>39</v>
      </c>
      <c r="Q91" s="8">
        <v>59430.0</v>
      </c>
      <c r="R91" s="12" t="s">
        <v>31</v>
      </c>
    </row>
    <row r="92">
      <c r="A92" s="7" t="s">
        <v>216</v>
      </c>
      <c r="B92" s="7" t="s">
        <v>24</v>
      </c>
      <c r="C92" s="7" t="s">
        <v>39</v>
      </c>
      <c r="D92" s="8">
        <v>42.0</v>
      </c>
      <c r="E92" s="9">
        <v>44731.0</v>
      </c>
      <c r="F92" s="8">
        <v>70270.0</v>
      </c>
      <c r="G92" s="7" t="s">
        <v>40</v>
      </c>
      <c r="H92" s="10" t="s">
        <v>27</v>
      </c>
      <c r="K92" s="7" t="s">
        <v>217</v>
      </c>
      <c r="L92" s="7" t="s">
        <v>24</v>
      </c>
      <c r="M92" s="8">
        <v>33.0</v>
      </c>
      <c r="N92" s="7" t="s">
        <v>26</v>
      </c>
      <c r="O92" s="15">
        <v>44640.0</v>
      </c>
      <c r="P92" s="7" t="s">
        <v>33</v>
      </c>
      <c r="Q92" s="8">
        <v>48530.0</v>
      </c>
      <c r="R92" s="12" t="s">
        <v>31</v>
      </c>
    </row>
    <row r="93">
      <c r="A93" s="7" t="s">
        <v>218</v>
      </c>
      <c r="B93" s="7" t="s">
        <v>24</v>
      </c>
      <c r="C93" s="7" t="s">
        <v>33</v>
      </c>
      <c r="D93" s="8">
        <v>26.0</v>
      </c>
      <c r="E93" s="9">
        <v>44411.0</v>
      </c>
      <c r="F93" s="8">
        <v>53540.0</v>
      </c>
      <c r="G93" s="7" t="s">
        <v>29</v>
      </c>
      <c r="H93" s="10" t="s">
        <v>27</v>
      </c>
      <c r="K93" s="7" t="s">
        <v>219</v>
      </c>
      <c r="L93" s="7" t="s">
        <v>35</v>
      </c>
      <c r="M93" s="8">
        <v>33.0</v>
      </c>
      <c r="N93" s="7" t="s">
        <v>29</v>
      </c>
      <c r="O93" s="11">
        <v>44129.0</v>
      </c>
      <c r="P93" s="7" t="s">
        <v>30</v>
      </c>
      <c r="Q93" s="8">
        <v>96140.0</v>
      </c>
      <c r="R93" s="12" t="s">
        <v>31</v>
      </c>
    </row>
    <row r="94">
      <c r="A94" s="7" t="s">
        <v>23</v>
      </c>
      <c r="B94" s="7" t="s">
        <v>24</v>
      </c>
      <c r="C94" s="7" t="s">
        <v>25</v>
      </c>
      <c r="D94" s="8">
        <v>22.0</v>
      </c>
      <c r="E94" s="7">
        <v>44446.0</v>
      </c>
      <c r="F94" s="8">
        <v>112780.0</v>
      </c>
      <c r="G94" s="7" t="s">
        <v>26</v>
      </c>
      <c r="H94" s="10" t="s">
        <v>27</v>
      </c>
      <c r="K94" s="7" t="s">
        <v>28</v>
      </c>
      <c r="L94" s="7" t="s">
        <v>24</v>
      </c>
      <c r="M94" s="8">
        <v>20.0</v>
      </c>
      <c r="N94" s="7" t="s">
        <v>29</v>
      </c>
      <c r="O94" s="11">
        <v>44122.0</v>
      </c>
      <c r="P94" s="7" t="s">
        <v>30</v>
      </c>
      <c r="Q94" s="8">
        <v>112650.0</v>
      </c>
      <c r="R94" s="12" t="s">
        <v>31</v>
      </c>
    </row>
    <row r="95">
      <c r="A95" s="7" t="s">
        <v>32</v>
      </c>
      <c r="B95" s="7" t="s">
        <v>24</v>
      </c>
      <c r="C95" s="7" t="s">
        <v>33</v>
      </c>
      <c r="D95" s="8">
        <v>46.0</v>
      </c>
      <c r="E95" s="7">
        <v>44758.0</v>
      </c>
      <c r="F95" s="8">
        <v>70610.0</v>
      </c>
      <c r="G95" s="7" t="s">
        <v>29</v>
      </c>
      <c r="H95" s="10" t="s">
        <v>27</v>
      </c>
      <c r="K95" s="7" t="s">
        <v>34</v>
      </c>
      <c r="L95" s="7" t="s">
        <v>35</v>
      </c>
      <c r="M95" s="8">
        <v>32.0</v>
      </c>
      <c r="N95" s="7" t="s">
        <v>26</v>
      </c>
      <c r="O95" s="11">
        <v>44293.0</v>
      </c>
      <c r="P95" s="7" t="s">
        <v>30</v>
      </c>
      <c r="Q95" s="8">
        <v>43840.0</v>
      </c>
      <c r="R95" s="12" t="s">
        <v>31</v>
      </c>
    </row>
    <row r="96">
      <c r="A96" s="7" t="s">
        <v>36</v>
      </c>
      <c r="B96" s="7" t="s">
        <v>35</v>
      </c>
      <c r="C96" s="7" t="s">
        <v>25</v>
      </c>
      <c r="D96" s="8">
        <v>28.0</v>
      </c>
      <c r="E96" s="7">
        <v>44357.0</v>
      </c>
      <c r="F96" s="8">
        <v>53240.0</v>
      </c>
      <c r="G96" s="7" t="s">
        <v>29</v>
      </c>
      <c r="H96" s="10" t="s">
        <v>27</v>
      </c>
      <c r="K96" s="7" t="s">
        <v>37</v>
      </c>
      <c r="L96" s="7" t="s">
        <v>24</v>
      </c>
      <c r="M96" s="8">
        <v>31.0</v>
      </c>
      <c r="N96" s="7" t="s">
        <v>29</v>
      </c>
      <c r="O96" s="11">
        <v>44663.0</v>
      </c>
      <c r="P96" s="7" t="s">
        <v>33</v>
      </c>
      <c r="Q96" s="8">
        <v>103550.0</v>
      </c>
      <c r="R96" s="12" t="s">
        <v>31</v>
      </c>
    </row>
    <row r="97">
      <c r="A97" s="7" t="s">
        <v>38</v>
      </c>
      <c r="B97" s="13"/>
      <c r="C97" s="7" t="s">
        <v>39</v>
      </c>
      <c r="D97" s="8">
        <v>37.0</v>
      </c>
      <c r="E97" s="7">
        <v>44146.0</v>
      </c>
      <c r="F97" s="8">
        <v>115440.0</v>
      </c>
      <c r="G97" s="7" t="s">
        <v>40</v>
      </c>
      <c r="H97" s="10" t="s">
        <v>27</v>
      </c>
      <c r="K97" s="7" t="s">
        <v>41</v>
      </c>
      <c r="L97" s="7" t="s">
        <v>35</v>
      </c>
      <c r="M97" s="8">
        <v>32.0</v>
      </c>
      <c r="N97" s="7" t="s">
        <v>29</v>
      </c>
      <c r="O97" s="14">
        <v>44339.0</v>
      </c>
      <c r="P97" s="7" t="s">
        <v>42</v>
      </c>
      <c r="Q97" s="8">
        <v>45510.0</v>
      </c>
      <c r="R97" s="12" t="s">
        <v>31</v>
      </c>
    </row>
    <row r="98">
      <c r="A98" s="7" t="s">
        <v>43</v>
      </c>
      <c r="B98" s="7" t="s">
        <v>24</v>
      </c>
      <c r="C98" s="7" t="s">
        <v>25</v>
      </c>
      <c r="D98" s="8">
        <v>32.0</v>
      </c>
      <c r="E98" s="7">
        <v>44465.0</v>
      </c>
      <c r="F98" s="8">
        <v>53540.0</v>
      </c>
      <c r="G98" s="7" t="s">
        <v>29</v>
      </c>
      <c r="H98" s="10" t="s">
        <v>27</v>
      </c>
      <c r="K98" s="7" t="s">
        <v>44</v>
      </c>
      <c r="L98" s="13"/>
      <c r="M98" s="8">
        <v>37.0</v>
      </c>
      <c r="N98" s="7" t="s">
        <v>40</v>
      </c>
      <c r="O98" s="11">
        <v>44085.0</v>
      </c>
      <c r="P98" s="7" t="s">
        <v>39</v>
      </c>
      <c r="Q98" s="8">
        <v>115440.0</v>
      </c>
      <c r="R98" s="12" t="s">
        <v>31</v>
      </c>
    </row>
    <row r="99">
      <c r="A99" s="7" t="s">
        <v>45</v>
      </c>
      <c r="B99" s="7" t="s">
        <v>35</v>
      </c>
      <c r="C99" s="7" t="s">
        <v>33</v>
      </c>
      <c r="D99" s="8">
        <v>30.0</v>
      </c>
      <c r="E99" s="7">
        <v>44861.0</v>
      </c>
      <c r="F99" s="8">
        <v>112570.0</v>
      </c>
      <c r="G99" s="7" t="s">
        <v>29</v>
      </c>
      <c r="H99" s="10" t="s">
        <v>27</v>
      </c>
      <c r="K99" s="7" t="s">
        <v>46</v>
      </c>
      <c r="L99" s="7" t="s">
        <v>35</v>
      </c>
      <c r="M99" s="8">
        <v>38.0</v>
      </c>
      <c r="N99" s="7" t="s">
        <v>26</v>
      </c>
      <c r="O99" s="15">
        <v>44268.0</v>
      </c>
      <c r="P99" s="7" t="s">
        <v>25</v>
      </c>
      <c r="Q99" s="8">
        <v>56870.0</v>
      </c>
      <c r="R99" s="12" t="s">
        <v>31</v>
      </c>
    </row>
    <row r="100">
      <c r="A100" s="7" t="s">
        <v>47</v>
      </c>
      <c r="B100" s="7" t="s">
        <v>24</v>
      </c>
      <c r="C100" s="7" t="s">
        <v>33</v>
      </c>
      <c r="D100" s="8">
        <v>33.0</v>
      </c>
      <c r="E100" s="7">
        <v>44701.0</v>
      </c>
      <c r="F100" s="8">
        <v>48530.0</v>
      </c>
      <c r="G100" s="7" t="s">
        <v>26</v>
      </c>
      <c r="H100" s="10" t="s">
        <v>27</v>
      </c>
      <c r="K100" s="7" t="s">
        <v>48</v>
      </c>
      <c r="L100" s="7" t="s">
        <v>35</v>
      </c>
      <c r="M100" s="8">
        <v>25.0</v>
      </c>
      <c r="N100" s="7" t="s">
        <v>29</v>
      </c>
      <c r="O100" s="11">
        <v>44144.0</v>
      </c>
      <c r="P100" s="7" t="s">
        <v>25</v>
      </c>
      <c r="Q100" s="8">
        <v>92700.0</v>
      </c>
      <c r="R100" s="12" t="s">
        <v>31</v>
      </c>
    </row>
    <row r="101">
      <c r="A101" s="7" t="s">
        <v>49</v>
      </c>
      <c r="B101" s="7" t="s">
        <v>35</v>
      </c>
      <c r="C101" s="7" t="s">
        <v>30</v>
      </c>
      <c r="D101" s="8">
        <v>24.0</v>
      </c>
      <c r="E101" s="7">
        <v>44148.0</v>
      </c>
      <c r="F101" s="8">
        <v>62780.0</v>
      </c>
      <c r="G101" s="7" t="s">
        <v>29</v>
      </c>
      <c r="H101" s="10" t="s">
        <v>27</v>
      </c>
      <c r="K101" s="7" t="s">
        <v>50</v>
      </c>
      <c r="L101" s="13"/>
      <c r="M101" s="8">
        <v>32.0</v>
      </c>
      <c r="N101" s="7" t="s">
        <v>29</v>
      </c>
      <c r="O101" s="11">
        <v>44713.0</v>
      </c>
      <c r="P101" s="7" t="s">
        <v>30</v>
      </c>
      <c r="Q101" s="8">
        <v>91310.0</v>
      </c>
      <c r="R101" s="12" t="s">
        <v>31</v>
      </c>
    </row>
    <row r="102">
      <c r="K102" s="7" t="s">
        <v>52</v>
      </c>
      <c r="L102" s="7" t="s">
        <v>24</v>
      </c>
      <c r="M102" s="8">
        <v>33.0</v>
      </c>
      <c r="N102" s="7" t="s">
        <v>29</v>
      </c>
      <c r="O102" s="11">
        <v>44324.0</v>
      </c>
      <c r="P102" s="7" t="s">
        <v>25</v>
      </c>
      <c r="Q102" s="8">
        <v>74550.0</v>
      </c>
      <c r="R102" s="12" t="s">
        <v>31</v>
      </c>
    </row>
    <row r="103">
      <c r="K103" s="7" t="s">
        <v>54</v>
      </c>
      <c r="L103" s="7" t="s">
        <v>24</v>
      </c>
      <c r="M103" s="8">
        <v>25.0</v>
      </c>
      <c r="N103" s="7" t="s">
        <v>26</v>
      </c>
      <c r="O103" s="11">
        <v>44665.0</v>
      </c>
      <c r="P103" s="7" t="s">
        <v>33</v>
      </c>
      <c r="Q103" s="8">
        <v>109190.0</v>
      </c>
      <c r="R103" s="12" t="s">
        <v>31</v>
      </c>
    </row>
    <row r="104">
      <c r="K104" s="7" t="s">
        <v>56</v>
      </c>
      <c r="L104" s="7" t="s">
        <v>35</v>
      </c>
      <c r="M104" s="8">
        <v>40.0</v>
      </c>
      <c r="N104" s="7" t="s">
        <v>29</v>
      </c>
      <c r="O104" s="11">
        <v>44320.0</v>
      </c>
      <c r="P104" s="7" t="s">
        <v>30</v>
      </c>
      <c r="Q104" s="8">
        <v>104410.0</v>
      </c>
      <c r="R104" s="12" t="s">
        <v>31</v>
      </c>
    </row>
    <row r="105">
      <c r="K105" s="7" t="s">
        <v>58</v>
      </c>
      <c r="L105" s="7" t="s">
        <v>24</v>
      </c>
      <c r="M105" s="8">
        <v>30.0</v>
      </c>
      <c r="N105" s="7" t="s">
        <v>29</v>
      </c>
      <c r="O105" s="11">
        <v>44544.0</v>
      </c>
      <c r="P105" s="7" t="s">
        <v>39</v>
      </c>
      <c r="Q105" s="8">
        <v>96800.0</v>
      </c>
      <c r="R105" s="12" t="s">
        <v>31</v>
      </c>
    </row>
    <row r="106">
      <c r="K106" s="7" t="s">
        <v>60</v>
      </c>
      <c r="L106" s="7" t="s">
        <v>24</v>
      </c>
      <c r="M106" s="8">
        <v>28.0</v>
      </c>
      <c r="N106" s="7" t="s">
        <v>26</v>
      </c>
      <c r="O106" s="14">
        <v>43980.0</v>
      </c>
      <c r="P106" s="7" t="s">
        <v>39</v>
      </c>
      <c r="Q106" s="8">
        <v>48170.0</v>
      </c>
      <c r="R106" s="12" t="s">
        <v>31</v>
      </c>
    </row>
    <row r="107">
      <c r="K107" s="7" t="s">
        <v>62</v>
      </c>
      <c r="L107" s="7" t="s">
        <v>24</v>
      </c>
      <c r="M107" s="8">
        <v>21.0</v>
      </c>
      <c r="N107" s="7" t="s">
        <v>29</v>
      </c>
      <c r="O107" s="11">
        <v>44042.0</v>
      </c>
      <c r="P107" s="7" t="s">
        <v>33</v>
      </c>
      <c r="Q107" s="8">
        <v>37920.0</v>
      </c>
      <c r="R107" s="12" t="s">
        <v>31</v>
      </c>
    </row>
    <row r="108">
      <c r="K108" s="7" t="s">
        <v>64</v>
      </c>
      <c r="L108" s="7" t="s">
        <v>24</v>
      </c>
      <c r="M108" s="8">
        <v>34.0</v>
      </c>
      <c r="N108" s="7" t="s">
        <v>29</v>
      </c>
      <c r="O108" s="15">
        <v>44642.0</v>
      </c>
      <c r="P108" s="7" t="s">
        <v>33</v>
      </c>
      <c r="Q108" s="8">
        <v>112650.0</v>
      </c>
      <c r="R108" s="12" t="s">
        <v>31</v>
      </c>
    </row>
    <row r="109">
      <c r="K109" s="7" t="s">
        <v>66</v>
      </c>
      <c r="L109" s="7" t="s">
        <v>35</v>
      </c>
      <c r="M109" s="8">
        <v>34.0</v>
      </c>
      <c r="N109" s="7" t="s">
        <v>40</v>
      </c>
      <c r="O109" s="11">
        <v>44660.0</v>
      </c>
      <c r="P109" s="7" t="s">
        <v>25</v>
      </c>
      <c r="Q109" s="8">
        <v>49630.0</v>
      </c>
      <c r="R109" s="12" t="s">
        <v>31</v>
      </c>
    </row>
    <row r="110">
      <c r="K110" s="7" t="s">
        <v>68</v>
      </c>
      <c r="L110" s="7" t="s">
        <v>24</v>
      </c>
      <c r="M110" s="8">
        <v>36.0</v>
      </c>
      <c r="N110" s="7" t="s">
        <v>29</v>
      </c>
      <c r="O110" s="11">
        <v>43958.0</v>
      </c>
      <c r="P110" s="7" t="s">
        <v>30</v>
      </c>
      <c r="Q110" s="8">
        <v>118840.0</v>
      </c>
      <c r="R110" s="12" t="s">
        <v>31</v>
      </c>
    </row>
    <row r="111">
      <c r="K111" s="7" t="s">
        <v>70</v>
      </c>
      <c r="L111" s="7" t="s">
        <v>24</v>
      </c>
      <c r="M111" s="8">
        <v>30.0</v>
      </c>
      <c r="N111" s="7" t="s">
        <v>29</v>
      </c>
      <c r="O111" s="15">
        <v>44789.0</v>
      </c>
      <c r="P111" s="7" t="s">
        <v>30</v>
      </c>
      <c r="Q111" s="8">
        <v>69710.0</v>
      </c>
      <c r="R111" s="12" t="s">
        <v>31</v>
      </c>
    </row>
    <row r="112">
      <c r="K112" s="7" t="s">
        <v>72</v>
      </c>
      <c r="L112" s="7" t="s">
        <v>24</v>
      </c>
      <c r="M112" s="8">
        <v>20.0</v>
      </c>
      <c r="N112" s="7" t="s">
        <v>29</v>
      </c>
      <c r="O112" s="11">
        <v>44683.0</v>
      </c>
      <c r="P112" s="7" t="s">
        <v>33</v>
      </c>
      <c r="Q112" s="8">
        <v>79570.0</v>
      </c>
      <c r="R112" s="12" t="s">
        <v>31</v>
      </c>
    </row>
    <row r="113">
      <c r="K113" s="7" t="s">
        <v>74</v>
      </c>
      <c r="L113" s="7" t="s">
        <v>35</v>
      </c>
      <c r="M113" s="8">
        <v>22.0</v>
      </c>
      <c r="N113" s="7" t="s">
        <v>26</v>
      </c>
      <c r="O113" s="11">
        <v>44388.0</v>
      </c>
      <c r="P113" s="7" t="s">
        <v>33</v>
      </c>
      <c r="Q113" s="8">
        <v>76900.0</v>
      </c>
      <c r="R113" s="12" t="s">
        <v>31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4.25"/>
    <col customWidth="1" min="3" max="3" width="17.88"/>
    <col customWidth="1" min="4" max="4" width="11.63"/>
    <col customWidth="1" min="5" max="5" width="17.5"/>
    <col customWidth="1" min="6" max="6" width="13.25"/>
    <col customWidth="1" min="7" max="7" width="16.88"/>
    <col customWidth="1" min="8" max="8" width="14.5"/>
    <col customWidth="1" min="9" max="9" width="10.63"/>
    <col customWidth="1" min="10" max="10" width="10.13"/>
  </cols>
  <sheetData>
    <row r="1" ht="22.5" customHeight="1">
      <c r="A1" s="16" t="s">
        <v>14</v>
      </c>
      <c r="B1" s="16" t="s">
        <v>15</v>
      </c>
      <c r="C1" s="16" t="s">
        <v>16</v>
      </c>
      <c r="D1" s="16" t="s">
        <v>17</v>
      </c>
      <c r="E1" s="17" t="s">
        <v>18</v>
      </c>
      <c r="F1" s="18" t="s">
        <v>19</v>
      </c>
      <c r="G1" s="16" t="s">
        <v>20</v>
      </c>
      <c r="H1" s="19" t="s">
        <v>21</v>
      </c>
      <c r="I1" s="20" t="s">
        <v>220</v>
      </c>
      <c r="J1" s="21" t="s">
        <v>221</v>
      </c>
      <c r="K1" s="22" t="s">
        <v>222</v>
      </c>
      <c r="L1" s="22" t="s">
        <v>223</v>
      </c>
    </row>
    <row r="2" ht="22.5" customHeight="1">
      <c r="A2" s="23" t="s">
        <v>186</v>
      </c>
      <c r="B2" s="7" t="s">
        <v>35</v>
      </c>
      <c r="C2" s="7" t="s">
        <v>30</v>
      </c>
      <c r="D2" s="24">
        <v>21.0</v>
      </c>
      <c r="E2" s="25">
        <v>44678.0</v>
      </c>
      <c r="F2" s="26">
        <v>33920.0</v>
      </c>
      <c r="G2" s="7" t="s">
        <v>29</v>
      </c>
      <c r="H2" s="27" t="s">
        <v>31</v>
      </c>
      <c r="I2" s="28">
        <f t="shared" ref="I2:I185" si="1">(TODAY()-E2)/365</f>
        <v>4.060273973</v>
      </c>
      <c r="J2" s="29">
        <f t="array" ref="J2:J213">ROUNDUP((IF(Staff[Tenure]&gt;=4,3%,2%))*Staff[Salary],0)</f>
        <v>1018</v>
      </c>
      <c r="K2" s="30">
        <f t="array" ref="K2">XLOOKUP(Staff[Rating],$O$2:$O$6,$P$2:$P$6)</f>
        <v>3</v>
      </c>
      <c r="L2" s="30">
        <f>YEAR(Staff[Date Joined])</f>
        <v>2022</v>
      </c>
      <c r="O2" s="31" t="s">
        <v>83</v>
      </c>
      <c r="P2" s="32">
        <v>5.0</v>
      </c>
    </row>
    <row r="3" ht="22.5" customHeight="1">
      <c r="A3" s="23" t="s">
        <v>124</v>
      </c>
      <c r="B3" s="7" t="s">
        <v>35</v>
      </c>
      <c r="C3" s="7" t="s">
        <v>30</v>
      </c>
      <c r="D3" s="24">
        <v>21.0</v>
      </c>
      <c r="E3" s="25">
        <v>44619.0</v>
      </c>
      <c r="F3" s="26">
        <v>33920.0</v>
      </c>
      <c r="G3" s="7" t="s">
        <v>29</v>
      </c>
      <c r="H3" s="27" t="s">
        <v>31</v>
      </c>
      <c r="I3" s="28">
        <f t="shared" si="1"/>
        <v>4.221917808</v>
      </c>
      <c r="J3" s="29">
        <v>1018.0</v>
      </c>
      <c r="K3" s="30">
        <f t="array" ref="K3">XLOOKUP(Staff[Rating],$O$2:$O$6,$P$2:$P$6)</f>
        <v>3</v>
      </c>
      <c r="L3" s="30">
        <f>YEAR(Staff[Date Joined])</f>
        <v>2022</v>
      </c>
      <c r="O3" s="31" t="s">
        <v>26</v>
      </c>
      <c r="P3" s="32">
        <v>4.0</v>
      </c>
    </row>
    <row r="4" ht="22.5" customHeight="1">
      <c r="A4" s="23" t="s">
        <v>90</v>
      </c>
      <c r="B4" s="7" t="s">
        <v>35</v>
      </c>
      <c r="C4" s="7" t="s">
        <v>30</v>
      </c>
      <c r="D4" s="24">
        <v>29.0</v>
      </c>
      <c r="E4" s="25">
        <v>44023.0</v>
      </c>
      <c r="F4" s="26">
        <v>34980.0</v>
      </c>
      <c r="G4" s="7" t="s">
        <v>29</v>
      </c>
      <c r="H4" s="27" t="s">
        <v>27</v>
      </c>
      <c r="I4" s="28">
        <f t="shared" si="1"/>
        <v>5.854794521</v>
      </c>
      <c r="J4" s="29">
        <v>1050.0</v>
      </c>
      <c r="K4" s="30">
        <f t="array" ref="K4">XLOOKUP(Staff[Rating],$O$2:$O$6,$P$2:$P$6)</f>
        <v>3</v>
      </c>
      <c r="L4" s="30">
        <f>YEAR(Staff[Date Joined])</f>
        <v>2020</v>
      </c>
      <c r="O4" s="31" t="s">
        <v>29</v>
      </c>
      <c r="P4" s="32">
        <v>3.0</v>
      </c>
    </row>
    <row r="5" ht="22.5" customHeight="1">
      <c r="A5" s="23" t="s">
        <v>197</v>
      </c>
      <c r="B5" s="7" t="s">
        <v>35</v>
      </c>
      <c r="C5" s="7" t="s">
        <v>30</v>
      </c>
      <c r="D5" s="24">
        <v>29.0</v>
      </c>
      <c r="E5" s="25">
        <v>43962.0</v>
      </c>
      <c r="F5" s="26">
        <v>34980.0</v>
      </c>
      <c r="G5" s="7" t="s">
        <v>29</v>
      </c>
      <c r="H5" s="27" t="s">
        <v>31</v>
      </c>
      <c r="I5" s="28">
        <f t="shared" si="1"/>
        <v>6.021917808</v>
      </c>
      <c r="J5" s="29">
        <v>1050.0</v>
      </c>
      <c r="K5" s="30">
        <f t="array" ref="K5">XLOOKUP(Staff[Rating],$O$2:$O$6,$P$2:$P$6)</f>
        <v>3</v>
      </c>
      <c r="L5" s="30">
        <f>YEAR(Staff[Date Joined])</f>
        <v>2020</v>
      </c>
      <c r="O5" s="31" t="s">
        <v>40</v>
      </c>
      <c r="P5" s="32">
        <v>2.0</v>
      </c>
    </row>
    <row r="6" ht="22.5" customHeight="1">
      <c r="A6" s="23" t="s">
        <v>194</v>
      </c>
      <c r="B6" s="7" t="s">
        <v>24</v>
      </c>
      <c r="C6" s="7" t="s">
        <v>25</v>
      </c>
      <c r="D6" s="24">
        <v>43.0</v>
      </c>
      <c r="E6" s="25">
        <v>44620.0</v>
      </c>
      <c r="F6" s="26">
        <v>36040.0</v>
      </c>
      <c r="G6" s="7" t="s">
        <v>29</v>
      </c>
      <c r="H6" s="27" t="s">
        <v>27</v>
      </c>
      <c r="I6" s="28">
        <f t="shared" si="1"/>
        <v>4.219178082</v>
      </c>
      <c r="J6" s="29">
        <v>1082.0</v>
      </c>
      <c r="K6" s="30">
        <f t="array" ref="K6">XLOOKUP(Staff[Rating],$O$2:$O$6,$P$2:$P$6)</f>
        <v>3</v>
      </c>
      <c r="L6" s="30">
        <f>YEAR(Staff[Date Joined])</f>
        <v>2022</v>
      </c>
      <c r="O6" s="31" t="s">
        <v>97</v>
      </c>
      <c r="P6" s="32">
        <v>1.0</v>
      </c>
    </row>
    <row r="7" ht="22.5" customHeight="1">
      <c r="A7" s="23" t="s">
        <v>80</v>
      </c>
      <c r="B7" s="7" t="s">
        <v>24</v>
      </c>
      <c r="C7" s="7" t="s">
        <v>25</v>
      </c>
      <c r="D7" s="24">
        <v>43.0</v>
      </c>
      <c r="E7" s="25">
        <v>44558.0</v>
      </c>
      <c r="F7" s="26">
        <v>36040.0</v>
      </c>
      <c r="G7" s="7" t="s">
        <v>29</v>
      </c>
      <c r="H7" s="27" t="s">
        <v>31</v>
      </c>
      <c r="I7" s="28">
        <f t="shared" si="1"/>
        <v>4.389041096</v>
      </c>
      <c r="J7" s="29">
        <v>1082.0</v>
      </c>
      <c r="K7" s="30">
        <f t="array" ref="K7">XLOOKUP(Staff[Rating],$O$2:$O$6,$P$2:$P$6)</f>
        <v>3</v>
      </c>
      <c r="L7" s="30">
        <f>YEAR(Staff[Date Joined])</f>
        <v>2021</v>
      </c>
    </row>
    <row r="8" ht="22.5" customHeight="1">
      <c r="A8" s="23" t="s">
        <v>67</v>
      </c>
      <c r="B8" s="7" t="s">
        <v>24</v>
      </c>
      <c r="C8" s="7" t="s">
        <v>33</v>
      </c>
      <c r="D8" s="24">
        <v>21.0</v>
      </c>
      <c r="E8" s="25">
        <v>44104.0</v>
      </c>
      <c r="F8" s="26">
        <v>37920.0</v>
      </c>
      <c r="G8" s="7" t="s">
        <v>29</v>
      </c>
      <c r="H8" s="27" t="s">
        <v>27</v>
      </c>
      <c r="I8" s="28">
        <f t="shared" si="1"/>
        <v>5.632876712</v>
      </c>
      <c r="J8" s="29">
        <v>1138.0</v>
      </c>
      <c r="K8" s="30">
        <f t="array" ref="K8">XLOOKUP(Staff[Rating],$O$2:$O$6,$P$2:$P$6)</f>
        <v>3</v>
      </c>
      <c r="L8" s="30">
        <f>YEAR(Staff[Date Joined])</f>
        <v>2020</v>
      </c>
    </row>
    <row r="9" ht="22.5" customHeight="1">
      <c r="A9" s="23" t="s">
        <v>62</v>
      </c>
      <c r="B9" s="7" t="s">
        <v>24</v>
      </c>
      <c r="C9" s="7" t="s">
        <v>33</v>
      </c>
      <c r="D9" s="24">
        <v>21.0</v>
      </c>
      <c r="E9" s="25">
        <v>44042.0</v>
      </c>
      <c r="F9" s="26">
        <v>37920.0</v>
      </c>
      <c r="G9" s="7" t="s">
        <v>29</v>
      </c>
      <c r="H9" s="27" t="s">
        <v>31</v>
      </c>
      <c r="I9" s="28">
        <f t="shared" si="1"/>
        <v>5.802739726</v>
      </c>
      <c r="J9" s="29">
        <v>1138.0</v>
      </c>
      <c r="K9" s="30">
        <f t="array" ref="K9">XLOOKUP(Staff[Rating],$O$2:$O$6,$P$2:$P$6)</f>
        <v>3</v>
      </c>
      <c r="L9" s="30">
        <f>YEAR(Staff[Date Joined])</f>
        <v>2020</v>
      </c>
    </row>
    <row r="10" ht="22.5" customHeight="1">
      <c r="A10" s="23" t="s">
        <v>190</v>
      </c>
      <c r="B10" s="7" t="s">
        <v>24</v>
      </c>
      <c r="C10" s="7" t="s">
        <v>33</v>
      </c>
      <c r="D10" s="24">
        <v>35.0</v>
      </c>
      <c r="E10" s="25">
        <v>44727.0</v>
      </c>
      <c r="F10" s="26">
        <v>40400.0</v>
      </c>
      <c r="G10" s="7" t="s">
        <v>29</v>
      </c>
      <c r="H10" s="27" t="s">
        <v>27</v>
      </c>
      <c r="I10" s="28">
        <f t="shared" si="1"/>
        <v>3.926027397</v>
      </c>
      <c r="J10" s="29">
        <v>808.0</v>
      </c>
      <c r="K10" s="30">
        <f t="array" ref="K10">XLOOKUP(Staff[Rating],$O$2:$O$6,$P$2:$P$6)</f>
        <v>3</v>
      </c>
      <c r="L10" s="30">
        <f>YEAR(Staff[Date Joined])</f>
        <v>2022</v>
      </c>
    </row>
    <row r="11" ht="22.5" customHeight="1">
      <c r="A11" s="23" t="s">
        <v>85</v>
      </c>
      <c r="B11" s="7" t="s">
        <v>24</v>
      </c>
      <c r="C11" s="7" t="s">
        <v>33</v>
      </c>
      <c r="D11" s="24">
        <v>35.0</v>
      </c>
      <c r="E11" s="25">
        <v>44666.0</v>
      </c>
      <c r="F11" s="26">
        <v>40400.0</v>
      </c>
      <c r="G11" s="7" t="s">
        <v>29</v>
      </c>
      <c r="H11" s="27" t="s">
        <v>31</v>
      </c>
      <c r="I11" s="28">
        <f t="shared" si="1"/>
        <v>4.093150685</v>
      </c>
      <c r="J11" s="29">
        <v>1212.0</v>
      </c>
      <c r="K11" s="30">
        <f t="array" ref="K11">XLOOKUP(Staff[Rating],$O$2:$O$6,$P$2:$P$6)</f>
        <v>3</v>
      </c>
      <c r="L11" s="30">
        <f>YEAR(Staff[Date Joined])</f>
        <v>2022</v>
      </c>
    </row>
    <row r="12" ht="22.5" customHeight="1">
      <c r="A12" s="23" t="s">
        <v>208</v>
      </c>
      <c r="B12" s="7" t="s">
        <v>35</v>
      </c>
      <c r="C12" s="7" t="s">
        <v>33</v>
      </c>
      <c r="D12" s="24">
        <v>32.0</v>
      </c>
      <c r="E12" s="25">
        <v>44611.0</v>
      </c>
      <c r="F12" s="26">
        <v>41570.0</v>
      </c>
      <c r="G12" s="7" t="s">
        <v>29</v>
      </c>
      <c r="H12" s="27" t="s">
        <v>27</v>
      </c>
      <c r="I12" s="28">
        <f t="shared" si="1"/>
        <v>4.243835616</v>
      </c>
      <c r="J12" s="29">
        <v>1248.0</v>
      </c>
      <c r="K12" s="30">
        <f t="array" ref="K12">XLOOKUP(Staff[Rating],$O$2:$O$6,$P$2:$P$6)</f>
        <v>3</v>
      </c>
      <c r="L12" s="30">
        <f>YEAR(Staff[Date Joined])</f>
        <v>2022</v>
      </c>
    </row>
    <row r="13" ht="22.5" customHeight="1">
      <c r="A13" s="23" t="s">
        <v>93</v>
      </c>
      <c r="B13" s="7" t="s">
        <v>35</v>
      </c>
      <c r="C13" s="7" t="s">
        <v>33</v>
      </c>
      <c r="D13" s="24">
        <v>32.0</v>
      </c>
      <c r="E13" s="25">
        <v>44549.0</v>
      </c>
      <c r="F13" s="26">
        <v>41570.0</v>
      </c>
      <c r="G13" s="7" t="s">
        <v>29</v>
      </c>
      <c r="H13" s="27" t="s">
        <v>31</v>
      </c>
      <c r="I13" s="28">
        <f t="shared" si="1"/>
        <v>4.41369863</v>
      </c>
      <c r="J13" s="29">
        <v>1248.0</v>
      </c>
      <c r="K13" s="30">
        <f t="array" ref="K13">XLOOKUP(Staff[Rating],$O$2:$O$6,$P$2:$P$6)</f>
        <v>3</v>
      </c>
      <c r="L13" s="30">
        <f>YEAR(Staff[Date Joined])</f>
        <v>2021</v>
      </c>
    </row>
    <row r="14" ht="22.5" customHeight="1">
      <c r="A14" s="23" t="s">
        <v>71</v>
      </c>
      <c r="B14" s="7" t="s">
        <v>35</v>
      </c>
      <c r="C14" s="7" t="s">
        <v>30</v>
      </c>
      <c r="D14" s="24">
        <v>31.0</v>
      </c>
      <c r="E14" s="25">
        <v>44145.0</v>
      </c>
      <c r="F14" s="26">
        <v>41980.0</v>
      </c>
      <c r="G14" s="7" t="s">
        <v>29</v>
      </c>
      <c r="H14" s="27" t="s">
        <v>27</v>
      </c>
      <c r="I14" s="28">
        <f t="shared" si="1"/>
        <v>5.520547945</v>
      </c>
      <c r="J14" s="29">
        <v>1260.0</v>
      </c>
      <c r="K14" s="30">
        <f t="array" ref="K14">XLOOKUP(Staff[Rating],$O$2:$O$6,$P$2:$P$6)</f>
        <v>3</v>
      </c>
      <c r="L14" s="30">
        <f>YEAR(Staff[Date Joined])</f>
        <v>2020</v>
      </c>
    </row>
    <row r="15" ht="22.5" customHeight="1">
      <c r="A15" s="23" t="s">
        <v>167</v>
      </c>
      <c r="B15" s="7" t="s">
        <v>35</v>
      </c>
      <c r="C15" s="7" t="s">
        <v>30</v>
      </c>
      <c r="D15" s="24">
        <v>31.0</v>
      </c>
      <c r="E15" s="25">
        <v>44084.0</v>
      </c>
      <c r="F15" s="26">
        <v>41980.0</v>
      </c>
      <c r="G15" s="7" t="s">
        <v>29</v>
      </c>
      <c r="H15" s="27" t="s">
        <v>31</v>
      </c>
      <c r="I15" s="28">
        <f t="shared" si="1"/>
        <v>5.687671233</v>
      </c>
      <c r="J15" s="29">
        <v>1260.0</v>
      </c>
      <c r="K15" s="30">
        <f t="array" ref="K15">XLOOKUP(Staff[Rating],$O$2:$O$6,$P$2:$P$6)</f>
        <v>3</v>
      </c>
      <c r="L15" s="30">
        <f>YEAR(Staff[Date Joined])</f>
        <v>2020</v>
      </c>
    </row>
    <row r="16" ht="22.5" customHeight="1">
      <c r="A16" s="23" t="s">
        <v>202</v>
      </c>
      <c r="B16" s="7" t="s">
        <v>24</v>
      </c>
      <c r="C16" s="7" t="s">
        <v>25</v>
      </c>
      <c r="D16" s="24">
        <v>28.0</v>
      </c>
      <c r="E16" s="25">
        <v>44820.0</v>
      </c>
      <c r="F16" s="26">
        <v>43510.0</v>
      </c>
      <c r="G16" s="7" t="s">
        <v>97</v>
      </c>
      <c r="H16" s="27" t="s">
        <v>27</v>
      </c>
      <c r="I16" s="28">
        <f t="shared" si="1"/>
        <v>3.671232877</v>
      </c>
      <c r="J16" s="29">
        <v>871.0</v>
      </c>
      <c r="K16" s="30">
        <f t="array" ref="K16">XLOOKUP(Staff[Rating],$O$2:$O$6,$P$2:$P$6)</f>
        <v>1</v>
      </c>
      <c r="L16" s="30">
        <f>YEAR(Staff[Date Joined])</f>
        <v>2022</v>
      </c>
    </row>
    <row r="17" ht="22.5" customHeight="1">
      <c r="A17" s="23" t="s">
        <v>161</v>
      </c>
      <c r="B17" s="7" t="s">
        <v>24</v>
      </c>
      <c r="C17" s="7" t="s">
        <v>25</v>
      </c>
      <c r="D17" s="24">
        <v>28.0</v>
      </c>
      <c r="E17" s="25">
        <v>44758.0</v>
      </c>
      <c r="F17" s="26">
        <v>43510.0</v>
      </c>
      <c r="G17" s="7" t="s">
        <v>97</v>
      </c>
      <c r="H17" s="27" t="s">
        <v>31</v>
      </c>
      <c r="I17" s="28">
        <f t="shared" si="1"/>
        <v>3.84109589</v>
      </c>
      <c r="J17" s="29">
        <v>871.0</v>
      </c>
      <c r="K17" s="30">
        <f t="array" ref="K17">XLOOKUP(Staff[Rating],$O$2:$O$6,$P$2:$P$6)</f>
        <v>1</v>
      </c>
      <c r="L17" s="30">
        <f>YEAR(Staff[Date Joined])</f>
        <v>2022</v>
      </c>
    </row>
    <row r="18" ht="22.5" customHeight="1">
      <c r="A18" s="23" t="s">
        <v>63</v>
      </c>
      <c r="B18" s="7" t="s">
        <v>35</v>
      </c>
      <c r="C18" s="7" t="s">
        <v>30</v>
      </c>
      <c r="D18" s="24">
        <v>32.0</v>
      </c>
      <c r="E18" s="25">
        <v>44354.0</v>
      </c>
      <c r="F18" s="26">
        <v>43840.0</v>
      </c>
      <c r="G18" s="7" t="s">
        <v>26</v>
      </c>
      <c r="H18" s="27" t="s">
        <v>27</v>
      </c>
      <c r="I18" s="28">
        <f t="shared" si="1"/>
        <v>4.947945205</v>
      </c>
      <c r="J18" s="29">
        <v>1316.0</v>
      </c>
      <c r="K18" s="30">
        <f t="array" ref="K18">XLOOKUP(Staff[Rating],$O$2:$O$6,$P$2:$P$6)</f>
        <v>4</v>
      </c>
      <c r="L18" s="30">
        <f>YEAR(Staff[Date Joined])</f>
        <v>2021</v>
      </c>
    </row>
    <row r="19" ht="22.5" customHeight="1">
      <c r="A19" s="23" t="s">
        <v>34</v>
      </c>
      <c r="B19" s="7" t="s">
        <v>35</v>
      </c>
      <c r="C19" s="7" t="s">
        <v>30</v>
      </c>
      <c r="D19" s="24">
        <v>32.0</v>
      </c>
      <c r="E19" s="25">
        <v>44293.0</v>
      </c>
      <c r="F19" s="26">
        <v>43840.0</v>
      </c>
      <c r="G19" s="7" t="s">
        <v>26</v>
      </c>
      <c r="H19" s="27" t="s">
        <v>31</v>
      </c>
      <c r="I19" s="28">
        <f t="shared" si="1"/>
        <v>5.115068493</v>
      </c>
      <c r="J19" s="29">
        <v>1316.0</v>
      </c>
      <c r="K19" s="30">
        <f t="array" ref="K19">XLOOKUP(Staff[Rating],$O$2:$O$6,$P$2:$P$6)</f>
        <v>4</v>
      </c>
      <c r="L19" s="30">
        <f>YEAR(Staff[Date Joined])</f>
        <v>2021</v>
      </c>
    </row>
    <row r="20" ht="22.5" customHeight="1">
      <c r="A20" s="23" t="s">
        <v>139</v>
      </c>
      <c r="B20" s="7" t="s">
        <v>35</v>
      </c>
      <c r="C20" s="7" t="s">
        <v>42</v>
      </c>
      <c r="D20" s="24">
        <v>32.0</v>
      </c>
      <c r="E20" s="25">
        <v>44400.0</v>
      </c>
      <c r="F20" s="26">
        <v>45510.0</v>
      </c>
      <c r="G20" s="7" t="s">
        <v>29</v>
      </c>
      <c r="H20" s="27" t="s">
        <v>27</v>
      </c>
      <c r="I20" s="28">
        <f t="shared" si="1"/>
        <v>4.821917808</v>
      </c>
      <c r="J20" s="29">
        <v>1366.0</v>
      </c>
      <c r="K20" s="30">
        <f t="array" ref="K20">XLOOKUP(Staff[Rating],$O$2:$O$6,$P$2:$P$6)</f>
        <v>3</v>
      </c>
      <c r="L20" s="30">
        <f>YEAR(Staff[Date Joined])</f>
        <v>2021</v>
      </c>
    </row>
    <row r="21" ht="22.5" customHeight="1">
      <c r="A21" s="23" t="s">
        <v>41</v>
      </c>
      <c r="B21" s="7" t="s">
        <v>35</v>
      </c>
      <c r="C21" s="7" t="s">
        <v>42</v>
      </c>
      <c r="D21" s="24">
        <v>32.0</v>
      </c>
      <c r="E21" s="25">
        <v>44339.0</v>
      </c>
      <c r="F21" s="26">
        <v>45510.0</v>
      </c>
      <c r="G21" s="7" t="s">
        <v>29</v>
      </c>
      <c r="H21" s="27" t="s">
        <v>31</v>
      </c>
      <c r="I21" s="28">
        <f t="shared" si="1"/>
        <v>4.989041096</v>
      </c>
      <c r="J21" s="29">
        <v>1366.0</v>
      </c>
      <c r="K21" s="30">
        <f t="array" ref="K21">XLOOKUP(Staff[Rating],$O$2:$O$6,$P$2:$P$6)</f>
        <v>3</v>
      </c>
      <c r="L21" s="30">
        <f>YEAR(Staff[Date Joined])</f>
        <v>2021</v>
      </c>
    </row>
    <row r="22" ht="22.5" customHeight="1">
      <c r="A22" s="23" t="s">
        <v>174</v>
      </c>
      <c r="B22" s="7" t="s">
        <v>24</v>
      </c>
      <c r="C22" s="7" t="s">
        <v>33</v>
      </c>
      <c r="D22" s="24">
        <v>26.0</v>
      </c>
      <c r="E22" s="25">
        <v>44225.0</v>
      </c>
      <c r="F22" s="26">
        <v>47360.0</v>
      </c>
      <c r="G22" s="7" t="s">
        <v>29</v>
      </c>
      <c r="H22" s="27" t="s">
        <v>27</v>
      </c>
      <c r="I22" s="28">
        <f t="shared" si="1"/>
        <v>5.301369863</v>
      </c>
      <c r="J22" s="29">
        <v>1421.0</v>
      </c>
      <c r="K22" s="30">
        <f t="array" ref="K22">XLOOKUP(Staff[Rating],$O$2:$O$6,$P$2:$P$6)</f>
        <v>3</v>
      </c>
      <c r="L22" s="30">
        <f>YEAR(Staff[Date Joined])</f>
        <v>2021</v>
      </c>
    </row>
    <row r="23" ht="22.5" customHeight="1">
      <c r="A23" s="23" t="s">
        <v>98</v>
      </c>
      <c r="B23" s="7" t="s">
        <v>24</v>
      </c>
      <c r="C23" s="7" t="s">
        <v>33</v>
      </c>
      <c r="D23" s="24">
        <v>26.0</v>
      </c>
      <c r="E23" s="25">
        <v>44164.0</v>
      </c>
      <c r="F23" s="26">
        <v>47360.0</v>
      </c>
      <c r="G23" s="7" t="s">
        <v>29</v>
      </c>
      <c r="H23" s="27" t="s">
        <v>31</v>
      </c>
      <c r="I23" s="28">
        <f t="shared" si="1"/>
        <v>5.468493151</v>
      </c>
      <c r="J23" s="29">
        <v>1421.0</v>
      </c>
      <c r="K23" s="30">
        <f t="array" ref="K23">XLOOKUP(Staff[Rating],$O$2:$O$6,$P$2:$P$6)</f>
        <v>3</v>
      </c>
      <c r="L23" s="30">
        <f>YEAR(Staff[Date Joined])</f>
        <v>2020</v>
      </c>
    </row>
    <row r="24" ht="22.5" customHeight="1">
      <c r="A24" s="23" t="s">
        <v>137</v>
      </c>
      <c r="B24" s="7" t="s">
        <v>24</v>
      </c>
      <c r="C24" s="7" t="s">
        <v>39</v>
      </c>
      <c r="D24" s="24">
        <v>28.0</v>
      </c>
      <c r="E24" s="25">
        <v>44041.0</v>
      </c>
      <c r="F24" s="26">
        <v>48170.0</v>
      </c>
      <c r="G24" s="7" t="s">
        <v>26</v>
      </c>
      <c r="H24" s="27" t="s">
        <v>27</v>
      </c>
      <c r="I24" s="28">
        <f t="shared" si="1"/>
        <v>5.805479452</v>
      </c>
      <c r="J24" s="29">
        <v>1446.0</v>
      </c>
      <c r="K24" s="30">
        <f t="array" ref="K24">XLOOKUP(Staff[Rating],$O$2:$O$6,$P$2:$P$6)</f>
        <v>4</v>
      </c>
      <c r="L24" s="30">
        <f>YEAR(Staff[Date Joined])</f>
        <v>2020</v>
      </c>
    </row>
    <row r="25" ht="22.5" customHeight="1">
      <c r="A25" s="23" t="s">
        <v>60</v>
      </c>
      <c r="B25" s="7" t="s">
        <v>24</v>
      </c>
      <c r="C25" s="7" t="s">
        <v>39</v>
      </c>
      <c r="D25" s="24">
        <v>28.0</v>
      </c>
      <c r="E25" s="25">
        <v>43980.0</v>
      </c>
      <c r="F25" s="26">
        <v>48170.0</v>
      </c>
      <c r="G25" s="7" t="s">
        <v>26</v>
      </c>
      <c r="H25" s="27" t="s">
        <v>31</v>
      </c>
      <c r="I25" s="28">
        <f t="shared" si="1"/>
        <v>5.97260274</v>
      </c>
      <c r="J25" s="29">
        <v>1446.0</v>
      </c>
      <c r="K25" s="30">
        <f t="array" ref="K25">XLOOKUP(Staff[Rating],$O$2:$O$6,$P$2:$P$6)</f>
        <v>4</v>
      </c>
      <c r="L25" s="30">
        <f>YEAR(Staff[Date Joined])</f>
        <v>2020</v>
      </c>
    </row>
    <row r="26" ht="22.5" customHeight="1">
      <c r="A26" s="23" t="s">
        <v>47</v>
      </c>
      <c r="B26" s="7" t="s">
        <v>24</v>
      </c>
      <c r="C26" s="7" t="s">
        <v>33</v>
      </c>
      <c r="D26" s="24">
        <v>33.0</v>
      </c>
      <c r="E26" s="25">
        <v>44701.0</v>
      </c>
      <c r="F26" s="26">
        <v>48530.0</v>
      </c>
      <c r="G26" s="7" t="s">
        <v>26</v>
      </c>
      <c r="H26" s="27" t="s">
        <v>27</v>
      </c>
      <c r="I26" s="28">
        <f t="shared" si="1"/>
        <v>3.997260274</v>
      </c>
      <c r="J26" s="29">
        <v>971.0</v>
      </c>
      <c r="K26" s="30">
        <f t="array" ref="K26">XLOOKUP(Staff[Rating],$O$2:$O$6,$P$2:$P$6)</f>
        <v>4</v>
      </c>
      <c r="L26" s="30">
        <f>YEAR(Staff[Date Joined])</f>
        <v>2022</v>
      </c>
    </row>
    <row r="27" ht="22.5" customHeight="1">
      <c r="A27" s="23" t="s">
        <v>217</v>
      </c>
      <c r="B27" s="7" t="s">
        <v>24</v>
      </c>
      <c r="C27" s="7" t="s">
        <v>33</v>
      </c>
      <c r="D27" s="24">
        <v>33.0</v>
      </c>
      <c r="E27" s="25">
        <v>44640.0</v>
      </c>
      <c r="F27" s="26">
        <v>48530.0</v>
      </c>
      <c r="G27" s="7" t="s">
        <v>26</v>
      </c>
      <c r="H27" s="27" t="s">
        <v>31</v>
      </c>
      <c r="I27" s="28">
        <f t="shared" si="1"/>
        <v>4.164383562</v>
      </c>
      <c r="J27" s="29">
        <v>1456.0</v>
      </c>
      <c r="K27" s="30">
        <f t="array" ref="K27">XLOOKUP(Staff[Rating],$O$2:$O$6,$P$2:$P$6)</f>
        <v>4</v>
      </c>
      <c r="L27" s="30">
        <f>YEAR(Staff[Date Joined])</f>
        <v>2022</v>
      </c>
    </row>
    <row r="28" ht="22.5" customHeight="1">
      <c r="A28" s="23" t="s">
        <v>113</v>
      </c>
      <c r="B28" s="7" t="s">
        <v>24</v>
      </c>
      <c r="C28" s="7" t="s">
        <v>30</v>
      </c>
      <c r="D28" s="24">
        <v>31.0</v>
      </c>
      <c r="E28" s="25">
        <v>44511.0</v>
      </c>
      <c r="F28" s="26">
        <v>48950.0</v>
      </c>
      <c r="G28" s="7" t="s">
        <v>29</v>
      </c>
      <c r="H28" s="27" t="s">
        <v>27</v>
      </c>
      <c r="I28" s="28">
        <f t="shared" si="1"/>
        <v>4.517808219</v>
      </c>
      <c r="J28" s="29">
        <v>1469.0</v>
      </c>
      <c r="K28" s="30">
        <f t="array" ref="K28">XLOOKUP(Staff[Rating],$O$2:$O$6,$P$2:$P$6)</f>
        <v>3</v>
      </c>
      <c r="L28" s="30">
        <f>YEAR(Staff[Date Joined])</f>
        <v>2021</v>
      </c>
    </row>
    <row r="29" ht="22.5" customHeight="1">
      <c r="A29" s="23" t="s">
        <v>151</v>
      </c>
      <c r="B29" s="7" t="s">
        <v>24</v>
      </c>
      <c r="C29" s="7" t="s">
        <v>30</v>
      </c>
      <c r="D29" s="24">
        <v>31.0</v>
      </c>
      <c r="E29" s="25">
        <v>44450.0</v>
      </c>
      <c r="F29" s="26">
        <v>48950.0</v>
      </c>
      <c r="G29" s="7" t="s">
        <v>29</v>
      </c>
      <c r="H29" s="27" t="s">
        <v>31</v>
      </c>
      <c r="I29" s="28">
        <f t="shared" si="1"/>
        <v>4.684931507</v>
      </c>
      <c r="J29" s="29">
        <v>1469.0</v>
      </c>
      <c r="K29" s="30">
        <f t="array" ref="K29">XLOOKUP(Staff[Rating],$O$2:$O$6,$P$2:$P$6)</f>
        <v>3</v>
      </c>
      <c r="L29" s="30">
        <f>YEAR(Staff[Date Joined])</f>
        <v>2021</v>
      </c>
    </row>
    <row r="30" ht="22.5" customHeight="1">
      <c r="A30" s="23" t="s">
        <v>81</v>
      </c>
      <c r="B30" s="7" t="s">
        <v>24</v>
      </c>
      <c r="C30" s="7" t="s">
        <v>39</v>
      </c>
      <c r="D30" s="24">
        <v>27.0</v>
      </c>
      <c r="E30" s="25">
        <v>44567.0</v>
      </c>
      <c r="F30" s="26">
        <v>48980.0</v>
      </c>
      <c r="G30" s="7" t="s">
        <v>29</v>
      </c>
      <c r="H30" s="27" t="s">
        <v>27</v>
      </c>
      <c r="I30" s="28">
        <f t="shared" si="1"/>
        <v>4.364383562</v>
      </c>
      <c r="J30" s="29">
        <v>1470.0</v>
      </c>
      <c r="K30" s="30">
        <f t="array" ref="K30">XLOOKUP(Staff[Rating],$O$2:$O$6,$P$2:$P$6)</f>
        <v>3</v>
      </c>
      <c r="L30" s="30">
        <f>YEAR(Staff[Date Joined])</f>
        <v>2022</v>
      </c>
    </row>
    <row r="31" ht="22.5" customHeight="1">
      <c r="A31" s="23" t="s">
        <v>116</v>
      </c>
      <c r="B31" s="7" t="s">
        <v>24</v>
      </c>
      <c r="C31" s="7" t="s">
        <v>39</v>
      </c>
      <c r="D31" s="24">
        <v>27.0</v>
      </c>
      <c r="E31" s="25">
        <v>44506.0</v>
      </c>
      <c r="F31" s="26">
        <v>48980.0</v>
      </c>
      <c r="G31" s="7" t="s">
        <v>29</v>
      </c>
      <c r="H31" s="27" t="s">
        <v>31</v>
      </c>
      <c r="I31" s="28">
        <f t="shared" si="1"/>
        <v>4.531506849</v>
      </c>
      <c r="J31" s="29">
        <v>1470.0</v>
      </c>
      <c r="K31" s="30">
        <f t="array" ref="K31">XLOOKUP(Staff[Rating],$O$2:$O$6,$P$2:$P$6)</f>
        <v>3</v>
      </c>
      <c r="L31" s="30">
        <f>YEAR(Staff[Date Joined])</f>
        <v>2021</v>
      </c>
    </row>
    <row r="32" ht="22.5" customHeight="1">
      <c r="A32" s="23" t="s">
        <v>105</v>
      </c>
      <c r="B32" s="7" t="s">
        <v>35</v>
      </c>
      <c r="C32" s="7" t="s">
        <v>25</v>
      </c>
      <c r="D32" s="24">
        <v>34.0</v>
      </c>
      <c r="E32" s="25">
        <v>44721.0</v>
      </c>
      <c r="F32" s="26">
        <v>49630.0</v>
      </c>
      <c r="G32" s="7" t="s">
        <v>40</v>
      </c>
      <c r="H32" s="27" t="s">
        <v>27</v>
      </c>
      <c r="I32" s="28">
        <f t="shared" si="1"/>
        <v>3.942465753</v>
      </c>
      <c r="J32" s="29">
        <v>993.0</v>
      </c>
      <c r="K32" s="30">
        <f t="array" ref="K32">XLOOKUP(Staff[Rating],$O$2:$O$6,$P$2:$P$6)</f>
        <v>2</v>
      </c>
      <c r="L32" s="30">
        <f>YEAR(Staff[Date Joined])</f>
        <v>2022</v>
      </c>
    </row>
    <row r="33" ht="22.5" customHeight="1">
      <c r="A33" s="23" t="s">
        <v>66</v>
      </c>
      <c r="B33" s="7" t="s">
        <v>35</v>
      </c>
      <c r="C33" s="7" t="s">
        <v>25</v>
      </c>
      <c r="D33" s="24">
        <v>34.0</v>
      </c>
      <c r="E33" s="25">
        <v>44660.0</v>
      </c>
      <c r="F33" s="26">
        <v>49630.0</v>
      </c>
      <c r="G33" s="7" t="s">
        <v>40</v>
      </c>
      <c r="H33" s="27" t="s">
        <v>31</v>
      </c>
      <c r="I33" s="28">
        <f t="shared" si="1"/>
        <v>4.109589041</v>
      </c>
      <c r="J33" s="29">
        <v>1489.0</v>
      </c>
      <c r="K33" s="30">
        <f t="array" ref="K33">XLOOKUP(Staff[Rating],$O$2:$O$6,$P$2:$P$6)</f>
        <v>2</v>
      </c>
      <c r="L33" s="30">
        <f>YEAR(Staff[Date Joined])</f>
        <v>2022</v>
      </c>
    </row>
    <row r="34" ht="22.5" customHeight="1">
      <c r="A34" s="23" t="s">
        <v>115</v>
      </c>
      <c r="B34" s="7" t="s">
        <v>24</v>
      </c>
      <c r="C34" s="7" t="s">
        <v>39</v>
      </c>
      <c r="D34" s="24">
        <v>24.0</v>
      </c>
      <c r="E34" s="25">
        <v>44436.0</v>
      </c>
      <c r="F34" s="26">
        <v>52610.0</v>
      </c>
      <c r="G34" s="7" t="s">
        <v>40</v>
      </c>
      <c r="H34" s="27" t="s">
        <v>27</v>
      </c>
      <c r="I34" s="28">
        <f t="shared" si="1"/>
        <v>4.723287671</v>
      </c>
      <c r="J34" s="29">
        <v>1579.0</v>
      </c>
      <c r="K34" s="30">
        <f t="array" ref="K34">XLOOKUP(Staff[Rating],$O$2:$O$6,$P$2:$P$6)</f>
        <v>2</v>
      </c>
      <c r="L34" s="30">
        <f>YEAR(Staff[Date Joined])</f>
        <v>2021</v>
      </c>
    </row>
    <row r="35" ht="22.5" customHeight="1">
      <c r="A35" s="23" t="s">
        <v>106</v>
      </c>
      <c r="B35" s="7" t="s">
        <v>24</v>
      </c>
      <c r="C35" s="7" t="s">
        <v>39</v>
      </c>
      <c r="D35" s="24">
        <v>24.0</v>
      </c>
      <c r="E35" s="25">
        <v>44375.0</v>
      </c>
      <c r="F35" s="26">
        <v>52610.0</v>
      </c>
      <c r="G35" s="7" t="s">
        <v>40</v>
      </c>
      <c r="H35" s="27" t="s">
        <v>31</v>
      </c>
      <c r="I35" s="28">
        <f t="shared" si="1"/>
        <v>4.890410959</v>
      </c>
      <c r="J35" s="29">
        <v>1579.0</v>
      </c>
      <c r="K35" s="30">
        <f t="array" ref="K35">XLOOKUP(Staff[Rating],$O$2:$O$6,$P$2:$P$6)</f>
        <v>2</v>
      </c>
      <c r="L35" s="30">
        <f>YEAR(Staff[Date Joined])</f>
        <v>2021</v>
      </c>
    </row>
    <row r="36" ht="22.5" customHeight="1">
      <c r="A36" s="23" t="s">
        <v>36</v>
      </c>
      <c r="B36" s="7" t="s">
        <v>35</v>
      </c>
      <c r="C36" s="7" t="s">
        <v>25</v>
      </c>
      <c r="D36" s="24">
        <v>28.0</v>
      </c>
      <c r="E36" s="25">
        <v>44357.0</v>
      </c>
      <c r="F36" s="26">
        <v>53240.0</v>
      </c>
      <c r="G36" s="7" t="s">
        <v>29</v>
      </c>
      <c r="H36" s="27" t="s">
        <v>27</v>
      </c>
      <c r="I36" s="28">
        <f t="shared" si="1"/>
        <v>4.939726027</v>
      </c>
      <c r="J36" s="29">
        <v>1598.0</v>
      </c>
      <c r="K36" s="30">
        <f t="array" ref="K36">XLOOKUP(Staff[Rating],$O$2:$O$6,$P$2:$P$6)</f>
        <v>3</v>
      </c>
      <c r="L36" s="30">
        <f>YEAR(Staff[Date Joined])</f>
        <v>2021</v>
      </c>
    </row>
    <row r="37" ht="22.5" customHeight="1">
      <c r="A37" s="23" t="s">
        <v>120</v>
      </c>
      <c r="B37" s="7" t="s">
        <v>35</v>
      </c>
      <c r="C37" s="7" t="s">
        <v>25</v>
      </c>
      <c r="D37" s="24">
        <v>28.0</v>
      </c>
      <c r="E37" s="25">
        <v>44296.0</v>
      </c>
      <c r="F37" s="26">
        <v>53240.0</v>
      </c>
      <c r="G37" s="7" t="s">
        <v>29</v>
      </c>
      <c r="H37" s="27" t="s">
        <v>31</v>
      </c>
      <c r="I37" s="28">
        <f t="shared" si="1"/>
        <v>5.106849315</v>
      </c>
      <c r="J37" s="29">
        <v>1598.0</v>
      </c>
      <c r="K37" s="30">
        <f t="array" ref="K37">XLOOKUP(Staff[Rating],$O$2:$O$6,$P$2:$P$6)</f>
        <v>3</v>
      </c>
      <c r="L37" s="30">
        <f>YEAR(Staff[Date Joined])</f>
        <v>2021</v>
      </c>
    </row>
    <row r="38" ht="22.5" customHeight="1">
      <c r="A38" s="23" t="s">
        <v>43</v>
      </c>
      <c r="B38" s="7" t="s">
        <v>24</v>
      </c>
      <c r="C38" s="7" t="s">
        <v>25</v>
      </c>
      <c r="D38" s="24">
        <v>32.0</v>
      </c>
      <c r="E38" s="25">
        <v>44465.0</v>
      </c>
      <c r="F38" s="26">
        <v>53540.0</v>
      </c>
      <c r="G38" s="7" t="s">
        <v>29</v>
      </c>
      <c r="H38" s="27" t="s">
        <v>27</v>
      </c>
      <c r="I38" s="28">
        <f t="shared" si="1"/>
        <v>4.643835616</v>
      </c>
      <c r="J38" s="29">
        <v>1607.0</v>
      </c>
      <c r="K38" s="30">
        <f t="array" ref="K38">XLOOKUP(Staff[Rating],$O$2:$O$6,$P$2:$P$6)</f>
        <v>3</v>
      </c>
      <c r="L38" s="30">
        <f>YEAR(Staff[Date Joined])</f>
        <v>2021</v>
      </c>
    </row>
    <row r="39" ht="22.5" customHeight="1">
      <c r="A39" s="23" t="s">
        <v>218</v>
      </c>
      <c r="B39" s="7" t="s">
        <v>24</v>
      </c>
      <c r="C39" s="7" t="s">
        <v>33</v>
      </c>
      <c r="D39" s="24">
        <v>26.0</v>
      </c>
      <c r="E39" s="25">
        <v>44411.0</v>
      </c>
      <c r="F39" s="26">
        <v>53540.0</v>
      </c>
      <c r="G39" s="7" t="s">
        <v>29</v>
      </c>
      <c r="H39" s="27" t="s">
        <v>27</v>
      </c>
      <c r="I39" s="28">
        <f t="shared" si="1"/>
        <v>4.791780822</v>
      </c>
      <c r="J39" s="29">
        <v>1607.0</v>
      </c>
      <c r="K39" s="30">
        <f t="array" ref="K39">XLOOKUP(Staff[Rating],$O$2:$O$6,$P$2:$P$6)</f>
        <v>3</v>
      </c>
      <c r="L39" s="30">
        <f>YEAR(Staff[Date Joined])</f>
        <v>2021</v>
      </c>
    </row>
    <row r="40" ht="22.5" customHeight="1">
      <c r="A40" s="23" t="s">
        <v>159</v>
      </c>
      <c r="B40" s="7" t="s">
        <v>24</v>
      </c>
      <c r="C40" s="7" t="s">
        <v>25</v>
      </c>
      <c r="D40" s="24">
        <v>32.0</v>
      </c>
      <c r="E40" s="25">
        <v>44403.0</v>
      </c>
      <c r="F40" s="26">
        <v>53540.0</v>
      </c>
      <c r="G40" s="7" t="s">
        <v>29</v>
      </c>
      <c r="H40" s="27" t="s">
        <v>31</v>
      </c>
      <c r="I40" s="28">
        <f t="shared" si="1"/>
        <v>4.81369863</v>
      </c>
      <c r="J40" s="29">
        <v>1607.0</v>
      </c>
      <c r="K40" s="30">
        <f t="array" ref="K40">XLOOKUP(Staff[Rating],$O$2:$O$6,$P$2:$P$6)</f>
        <v>3</v>
      </c>
      <c r="L40" s="30">
        <f>YEAR(Staff[Date Joined])</f>
        <v>2021</v>
      </c>
    </row>
    <row r="41" ht="22.5" customHeight="1">
      <c r="A41" s="23" t="s">
        <v>175</v>
      </c>
      <c r="B41" s="7" t="s">
        <v>24</v>
      </c>
      <c r="C41" s="7" t="s">
        <v>33</v>
      </c>
      <c r="D41" s="24">
        <v>26.0</v>
      </c>
      <c r="E41" s="25">
        <v>44350.0</v>
      </c>
      <c r="F41" s="26">
        <v>53540.0</v>
      </c>
      <c r="G41" s="7" t="s">
        <v>29</v>
      </c>
      <c r="H41" s="27" t="s">
        <v>31</v>
      </c>
      <c r="I41" s="28">
        <f t="shared" si="1"/>
        <v>4.95890411</v>
      </c>
      <c r="J41" s="29">
        <v>1607.0</v>
      </c>
      <c r="K41" s="30">
        <f t="array" ref="K41">XLOOKUP(Staff[Rating],$O$2:$O$6,$P$2:$P$6)</f>
        <v>3</v>
      </c>
      <c r="L41" s="30">
        <f>YEAR(Staff[Date Joined])</f>
        <v>2021</v>
      </c>
    </row>
    <row r="42" ht="22.5" customHeight="1">
      <c r="A42" s="23" t="s">
        <v>51</v>
      </c>
      <c r="B42" s="7" t="s">
        <v>24</v>
      </c>
      <c r="C42" s="7" t="s">
        <v>30</v>
      </c>
      <c r="D42" s="24">
        <v>33.0</v>
      </c>
      <c r="E42" s="25">
        <v>44509.0</v>
      </c>
      <c r="F42" s="26">
        <v>53870.0</v>
      </c>
      <c r="G42" s="7" t="s">
        <v>29</v>
      </c>
      <c r="H42" s="27" t="s">
        <v>27</v>
      </c>
      <c r="I42" s="28">
        <f t="shared" si="1"/>
        <v>4.523287671</v>
      </c>
      <c r="J42" s="29">
        <v>1617.0</v>
      </c>
      <c r="K42" s="30">
        <f t="array" ref="K42">XLOOKUP(Staff[Rating],$O$2:$O$6,$P$2:$P$6)</f>
        <v>3</v>
      </c>
      <c r="L42" s="30">
        <f>YEAR(Staff[Date Joined])</f>
        <v>2021</v>
      </c>
    </row>
    <row r="43" ht="22.5" customHeight="1">
      <c r="A43" s="23" t="s">
        <v>207</v>
      </c>
      <c r="B43" s="7" t="s">
        <v>24</v>
      </c>
      <c r="C43" s="7" t="s">
        <v>30</v>
      </c>
      <c r="D43" s="24">
        <v>33.0</v>
      </c>
      <c r="E43" s="25">
        <v>44448.0</v>
      </c>
      <c r="F43" s="26">
        <v>53870.0</v>
      </c>
      <c r="G43" s="7" t="s">
        <v>29</v>
      </c>
      <c r="H43" s="27" t="s">
        <v>31</v>
      </c>
      <c r="I43" s="28">
        <f t="shared" si="1"/>
        <v>4.690410959</v>
      </c>
      <c r="J43" s="29">
        <v>1617.0</v>
      </c>
      <c r="K43" s="30">
        <f t="array" ref="K43">XLOOKUP(Staff[Rating],$O$2:$O$6,$P$2:$P$6)</f>
        <v>3</v>
      </c>
      <c r="L43" s="30">
        <f>YEAR(Staff[Date Joined])</f>
        <v>2021</v>
      </c>
    </row>
    <row r="44" ht="22.5" customHeight="1">
      <c r="A44" s="23" t="s">
        <v>164</v>
      </c>
      <c r="B44" s="7" t="s">
        <v>24</v>
      </c>
      <c r="C44" s="7" t="s">
        <v>25</v>
      </c>
      <c r="D44" s="24">
        <v>27.0</v>
      </c>
      <c r="E44" s="25">
        <v>44134.0</v>
      </c>
      <c r="F44" s="26">
        <v>54970.0</v>
      </c>
      <c r="G44" s="7" t="s">
        <v>29</v>
      </c>
      <c r="H44" s="27" t="s">
        <v>27</v>
      </c>
      <c r="I44" s="28">
        <f t="shared" si="1"/>
        <v>5.550684932</v>
      </c>
      <c r="J44" s="29">
        <v>1650.0</v>
      </c>
      <c r="K44" s="30">
        <f t="array" ref="K44">XLOOKUP(Staff[Rating],$O$2:$O$6,$P$2:$P$6)</f>
        <v>3</v>
      </c>
      <c r="L44" s="30">
        <f>YEAR(Staff[Date Joined])</f>
        <v>2020</v>
      </c>
    </row>
    <row r="45" ht="22.5" customHeight="1">
      <c r="A45" s="23" t="s">
        <v>76</v>
      </c>
      <c r="B45" s="7" t="s">
        <v>24</v>
      </c>
      <c r="C45" s="7" t="s">
        <v>25</v>
      </c>
      <c r="D45" s="24">
        <v>27.0</v>
      </c>
      <c r="E45" s="25">
        <v>44073.0</v>
      </c>
      <c r="F45" s="26">
        <v>54970.0</v>
      </c>
      <c r="G45" s="7" t="s">
        <v>29</v>
      </c>
      <c r="H45" s="27" t="s">
        <v>31</v>
      </c>
      <c r="I45" s="28">
        <f t="shared" si="1"/>
        <v>5.717808219</v>
      </c>
      <c r="J45" s="29">
        <v>1650.0</v>
      </c>
      <c r="K45" s="30">
        <f t="array" ref="K45">XLOOKUP(Staff[Rating],$O$2:$O$6,$P$2:$P$6)</f>
        <v>3</v>
      </c>
      <c r="L45" s="30">
        <f>YEAR(Staff[Date Joined])</f>
        <v>2020</v>
      </c>
    </row>
    <row r="46" ht="22.5" customHeight="1">
      <c r="A46" s="23" t="s">
        <v>168</v>
      </c>
      <c r="B46" s="7" t="s">
        <v>35</v>
      </c>
      <c r="C46" s="7" t="s">
        <v>25</v>
      </c>
      <c r="D46" s="24">
        <v>38.0</v>
      </c>
      <c r="E46" s="25">
        <v>44329.0</v>
      </c>
      <c r="F46" s="26">
        <v>56870.0</v>
      </c>
      <c r="G46" s="7" t="s">
        <v>26</v>
      </c>
      <c r="H46" s="27" t="s">
        <v>27</v>
      </c>
      <c r="I46" s="28">
        <f t="shared" si="1"/>
        <v>5.016438356</v>
      </c>
      <c r="J46" s="29">
        <v>1707.0</v>
      </c>
      <c r="K46" s="30">
        <f t="array" ref="K46">XLOOKUP(Staff[Rating],$O$2:$O$6,$P$2:$P$6)</f>
        <v>4</v>
      </c>
      <c r="L46" s="30">
        <f>YEAR(Staff[Date Joined])</f>
        <v>2021</v>
      </c>
    </row>
    <row r="47" ht="22.5" customHeight="1">
      <c r="A47" s="23" t="s">
        <v>46</v>
      </c>
      <c r="B47" s="7" t="s">
        <v>35</v>
      </c>
      <c r="C47" s="7" t="s">
        <v>25</v>
      </c>
      <c r="D47" s="24">
        <v>38.0</v>
      </c>
      <c r="E47" s="25">
        <v>44268.0</v>
      </c>
      <c r="F47" s="26">
        <v>56870.0</v>
      </c>
      <c r="G47" s="7" t="s">
        <v>26</v>
      </c>
      <c r="H47" s="27" t="s">
        <v>31</v>
      </c>
      <c r="I47" s="28">
        <f t="shared" si="1"/>
        <v>5.183561644</v>
      </c>
      <c r="J47" s="29">
        <v>1707.0</v>
      </c>
      <c r="K47" s="30">
        <f t="array" ref="K47">XLOOKUP(Staff[Rating],$O$2:$O$6,$P$2:$P$6)</f>
        <v>4</v>
      </c>
      <c r="L47" s="30">
        <f>YEAR(Staff[Date Joined])</f>
        <v>2021</v>
      </c>
    </row>
    <row r="48" ht="22.5" customHeight="1">
      <c r="A48" s="23" t="s">
        <v>69</v>
      </c>
      <c r="B48" s="7" t="s">
        <v>24</v>
      </c>
      <c r="C48" s="7" t="s">
        <v>33</v>
      </c>
      <c r="D48" s="24">
        <v>21.0</v>
      </c>
      <c r="E48" s="25">
        <v>44762.0</v>
      </c>
      <c r="F48" s="26">
        <v>57090.0</v>
      </c>
      <c r="G48" s="7" t="s">
        <v>29</v>
      </c>
      <c r="H48" s="27" t="s">
        <v>27</v>
      </c>
      <c r="I48" s="28">
        <f t="shared" si="1"/>
        <v>3.830136986</v>
      </c>
      <c r="J48" s="29">
        <v>1142.0</v>
      </c>
      <c r="K48" s="30">
        <f t="array" ref="K48">XLOOKUP(Staff[Rating],$O$2:$O$6,$P$2:$P$6)</f>
        <v>3</v>
      </c>
      <c r="L48" s="30">
        <f>YEAR(Staff[Date Joined])</f>
        <v>2022</v>
      </c>
    </row>
    <row r="49" ht="22.5" customHeight="1">
      <c r="A49" s="23" t="s">
        <v>132</v>
      </c>
      <c r="B49" s="7" t="s">
        <v>24</v>
      </c>
      <c r="C49" s="7" t="s">
        <v>33</v>
      </c>
      <c r="D49" s="24">
        <v>21.0</v>
      </c>
      <c r="E49" s="25">
        <v>44701.0</v>
      </c>
      <c r="F49" s="26">
        <v>57090.0</v>
      </c>
      <c r="G49" s="7" t="s">
        <v>29</v>
      </c>
      <c r="H49" s="27" t="s">
        <v>31</v>
      </c>
      <c r="I49" s="28">
        <f t="shared" si="1"/>
        <v>3.997260274</v>
      </c>
      <c r="J49" s="29">
        <v>1142.0</v>
      </c>
      <c r="K49" s="30">
        <f t="array" ref="K49">XLOOKUP(Staff[Rating],$O$2:$O$6,$P$2:$P$6)</f>
        <v>3</v>
      </c>
      <c r="L49" s="30">
        <f>YEAR(Staff[Date Joined])</f>
        <v>2022</v>
      </c>
    </row>
    <row r="50" ht="22.5" customHeight="1">
      <c r="A50" s="23" t="s">
        <v>79</v>
      </c>
      <c r="B50" s="7" t="s">
        <v>35</v>
      </c>
      <c r="C50" s="7" t="s">
        <v>30</v>
      </c>
      <c r="D50" s="24">
        <v>31.0</v>
      </c>
      <c r="E50" s="25">
        <v>44663.0</v>
      </c>
      <c r="F50" s="26">
        <v>58100.0</v>
      </c>
      <c r="G50" s="7" t="s">
        <v>29</v>
      </c>
      <c r="H50" s="27" t="s">
        <v>27</v>
      </c>
      <c r="I50" s="28">
        <f t="shared" si="1"/>
        <v>4.101369863</v>
      </c>
      <c r="J50" s="29">
        <v>1743.0</v>
      </c>
      <c r="K50" s="30">
        <f t="array" ref="K50">XLOOKUP(Staff[Rating],$O$2:$O$6,$P$2:$P$6)</f>
        <v>3</v>
      </c>
      <c r="L50" s="30">
        <f>YEAR(Staff[Date Joined])</f>
        <v>2022</v>
      </c>
    </row>
    <row r="51" ht="22.5" customHeight="1">
      <c r="A51" s="23" t="s">
        <v>89</v>
      </c>
      <c r="B51" s="7" t="s">
        <v>35</v>
      </c>
      <c r="C51" s="7" t="s">
        <v>30</v>
      </c>
      <c r="D51" s="24">
        <v>31.0</v>
      </c>
      <c r="E51" s="25">
        <v>44604.0</v>
      </c>
      <c r="F51" s="26">
        <v>58100.0</v>
      </c>
      <c r="G51" s="7" t="s">
        <v>29</v>
      </c>
      <c r="H51" s="27" t="s">
        <v>31</v>
      </c>
      <c r="I51" s="28">
        <f t="shared" si="1"/>
        <v>4.263013699</v>
      </c>
      <c r="J51" s="29">
        <v>1743.0</v>
      </c>
      <c r="K51" s="30">
        <f t="array" ref="K51">XLOOKUP(Staff[Rating],$O$2:$O$6,$P$2:$P$6)</f>
        <v>3</v>
      </c>
      <c r="L51" s="30">
        <f>YEAR(Staff[Date Joined])</f>
        <v>2022</v>
      </c>
    </row>
    <row r="52" ht="22.5" customHeight="1">
      <c r="A52" s="23" t="s">
        <v>75</v>
      </c>
      <c r="B52" s="7" t="s">
        <v>35</v>
      </c>
      <c r="C52" s="7" t="s">
        <v>39</v>
      </c>
      <c r="D52" s="24">
        <v>34.0</v>
      </c>
      <c r="E52" s="25">
        <v>44653.0</v>
      </c>
      <c r="F52" s="26">
        <v>58940.0</v>
      </c>
      <c r="G52" s="7" t="s">
        <v>29</v>
      </c>
      <c r="H52" s="27" t="s">
        <v>27</v>
      </c>
      <c r="I52" s="28">
        <f t="shared" si="1"/>
        <v>4.128767123</v>
      </c>
      <c r="J52" s="29">
        <v>1769.0</v>
      </c>
      <c r="K52" s="30">
        <f t="array" ref="K52">XLOOKUP(Staff[Rating],$O$2:$O$6,$P$2:$P$6)</f>
        <v>3</v>
      </c>
      <c r="L52" s="30">
        <f>YEAR(Staff[Date Joined])</f>
        <v>2022</v>
      </c>
    </row>
    <row r="53" ht="22.5" customHeight="1">
      <c r="A53" s="23" t="s">
        <v>128</v>
      </c>
      <c r="B53" s="7" t="s">
        <v>35</v>
      </c>
      <c r="C53" s="7" t="s">
        <v>39</v>
      </c>
      <c r="D53" s="24">
        <v>34.0</v>
      </c>
      <c r="E53" s="25">
        <v>44594.0</v>
      </c>
      <c r="F53" s="26">
        <v>58940.0</v>
      </c>
      <c r="G53" s="7" t="s">
        <v>29</v>
      </c>
      <c r="H53" s="27" t="s">
        <v>31</v>
      </c>
      <c r="I53" s="28">
        <f t="shared" si="1"/>
        <v>4.290410959</v>
      </c>
      <c r="J53" s="29">
        <v>1769.0</v>
      </c>
      <c r="K53" s="30">
        <f t="array" ref="K53">XLOOKUP(Staff[Rating],$O$2:$O$6,$P$2:$P$6)</f>
        <v>3</v>
      </c>
      <c r="L53" s="30">
        <f>YEAR(Staff[Date Joined])</f>
        <v>2022</v>
      </c>
    </row>
    <row r="54" ht="22.5" customHeight="1">
      <c r="A54" s="23" t="s">
        <v>133</v>
      </c>
      <c r="B54" s="7" t="s">
        <v>24</v>
      </c>
      <c r="C54" s="7" t="s">
        <v>33</v>
      </c>
      <c r="D54" s="24">
        <v>19.0</v>
      </c>
      <c r="E54" s="25">
        <v>44277.0</v>
      </c>
      <c r="F54" s="26">
        <v>58960.0</v>
      </c>
      <c r="G54" s="7" t="s">
        <v>29</v>
      </c>
      <c r="H54" s="27" t="s">
        <v>27</v>
      </c>
      <c r="I54" s="28">
        <f t="shared" si="1"/>
        <v>5.15890411</v>
      </c>
      <c r="J54" s="29">
        <v>1769.0</v>
      </c>
      <c r="K54" s="30">
        <f t="array" ref="K54">XLOOKUP(Staff[Rating],$O$2:$O$6,$P$2:$P$6)</f>
        <v>3</v>
      </c>
      <c r="L54" s="30">
        <f>YEAR(Staff[Date Joined])</f>
        <v>2021</v>
      </c>
    </row>
    <row r="55" ht="22.5" customHeight="1">
      <c r="A55" s="23" t="s">
        <v>211</v>
      </c>
      <c r="B55" s="7" t="s">
        <v>24</v>
      </c>
      <c r="C55" s="7" t="s">
        <v>33</v>
      </c>
      <c r="D55" s="24">
        <v>19.0</v>
      </c>
      <c r="E55" s="25">
        <v>44218.0</v>
      </c>
      <c r="F55" s="26">
        <v>58960.0</v>
      </c>
      <c r="G55" s="7" t="s">
        <v>29</v>
      </c>
      <c r="H55" s="27" t="s">
        <v>31</v>
      </c>
      <c r="I55" s="28">
        <f t="shared" si="1"/>
        <v>5.320547945</v>
      </c>
      <c r="J55" s="29">
        <v>1769.0</v>
      </c>
      <c r="K55" s="30">
        <f t="array" ref="K55">XLOOKUP(Staff[Rating],$O$2:$O$6,$P$2:$P$6)</f>
        <v>3</v>
      </c>
      <c r="L55" s="30">
        <f>YEAR(Staff[Date Joined])</f>
        <v>2021</v>
      </c>
    </row>
    <row r="56" ht="22.5" customHeight="1">
      <c r="A56" s="23" t="s">
        <v>204</v>
      </c>
      <c r="B56" s="7" t="s">
        <v>24</v>
      </c>
      <c r="C56" s="7" t="s">
        <v>39</v>
      </c>
      <c r="D56" s="24">
        <v>33.0</v>
      </c>
      <c r="E56" s="25">
        <v>44243.0</v>
      </c>
      <c r="F56" s="26">
        <v>59430.0</v>
      </c>
      <c r="G56" s="7" t="s">
        <v>29</v>
      </c>
      <c r="H56" s="27" t="s">
        <v>27</v>
      </c>
      <c r="I56" s="28">
        <f t="shared" si="1"/>
        <v>5.252054795</v>
      </c>
      <c r="J56" s="29">
        <v>1783.0</v>
      </c>
      <c r="K56" s="30">
        <f t="array" ref="K56">XLOOKUP(Staff[Rating],$O$2:$O$6,$P$2:$P$6)</f>
        <v>3</v>
      </c>
      <c r="L56" s="30">
        <f>YEAR(Staff[Date Joined])</f>
        <v>2021</v>
      </c>
    </row>
    <row r="57" ht="22.5" customHeight="1">
      <c r="A57" s="23" t="s">
        <v>215</v>
      </c>
      <c r="B57" s="7" t="s">
        <v>24</v>
      </c>
      <c r="C57" s="7" t="s">
        <v>39</v>
      </c>
      <c r="D57" s="24">
        <v>33.0</v>
      </c>
      <c r="E57" s="25">
        <v>44181.0</v>
      </c>
      <c r="F57" s="26">
        <v>59430.0</v>
      </c>
      <c r="G57" s="7" t="s">
        <v>29</v>
      </c>
      <c r="H57" s="27" t="s">
        <v>31</v>
      </c>
      <c r="I57" s="28">
        <f t="shared" si="1"/>
        <v>5.421917808</v>
      </c>
      <c r="J57" s="29">
        <v>1783.0</v>
      </c>
      <c r="K57" s="30">
        <f t="array" ref="K57">XLOOKUP(Staff[Rating],$O$2:$O$6,$P$2:$P$6)</f>
        <v>3</v>
      </c>
      <c r="L57" s="30">
        <f>YEAR(Staff[Date Joined])</f>
        <v>2020</v>
      </c>
    </row>
    <row r="58" ht="22.5" customHeight="1">
      <c r="A58" s="23" t="s">
        <v>94</v>
      </c>
      <c r="B58" s="7" t="s">
        <v>35</v>
      </c>
      <c r="C58" s="7" t="s">
        <v>39</v>
      </c>
      <c r="D58" s="24">
        <v>34.0</v>
      </c>
      <c r="E58" s="25">
        <v>44612.0</v>
      </c>
      <c r="F58" s="26">
        <v>60130.0</v>
      </c>
      <c r="G58" s="7" t="s">
        <v>29</v>
      </c>
      <c r="H58" s="27" t="s">
        <v>27</v>
      </c>
      <c r="I58" s="28">
        <f t="shared" si="1"/>
        <v>4.24109589</v>
      </c>
      <c r="J58" s="29">
        <v>1804.0</v>
      </c>
      <c r="K58" s="30">
        <f t="array" ref="K58">XLOOKUP(Staff[Rating],$O$2:$O$6,$P$2:$P$6)</f>
        <v>3</v>
      </c>
      <c r="L58" s="30">
        <f>YEAR(Staff[Date Joined])</f>
        <v>2022</v>
      </c>
    </row>
    <row r="59" ht="22.5" customHeight="1">
      <c r="A59" s="23" t="s">
        <v>183</v>
      </c>
      <c r="B59" s="7" t="s">
        <v>35</v>
      </c>
      <c r="C59" s="7" t="s">
        <v>39</v>
      </c>
      <c r="D59" s="24">
        <v>34.0</v>
      </c>
      <c r="E59" s="25">
        <v>44550.0</v>
      </c>
      <c r="F59" s="26">
        <v>60130.0</v>
      </c>
      <c r="G59" s="7" t="s">
        <v>29</v>
      </c>
      <c r="H59" s="27" t="s">
        <v>31</v>
      </c>
      <c r="I59" s="28">
        <f t="shared" si="1"/>
        <v>4.410958904</v>
      </c>
      <c r="J59" s="29">
        <v>1804.0</v>
      </c>
      <c r="K59" s="30">
        <f t="array" ref="K59">XLOOKUP(Staff[Rating],$O$2:$O$6,$P$2:$P$6)</f>
        <v>3</v>
      </c>
      <c r="L59" s="30">
        <f>YEAR(Staff[Date Joined])</f>
        <v>2021</v>
      </c>
    </row>
    <row r="60" ht="22.5" customHeight="1">
      <c r="A60" s="23" t="s">
        <v>176</v>
      </c>
      <c r="B60" s="7" t="s">
        <v>24</v>
      </c>
      <c r="C60" s="7" t="s">
        <v>33</v>
      </c>
      <c r="D60" s="24">
        <v>30.0</v>
      </c>
      <c r="E60" s="25">
        <v>44666.0</v>
      </c>
      <c r="F60" s="26">
        <v>60570.0</v>
      </c>
      <c r="G60" s="7" t="s">
        <v>29</v>
      </c>
      <c r="H60" s="27" t="s">
        <v>27</v>
      </c>
      <c r="I60" s="28">
        <f t="shared" si="1"/>
        <v>4.093150685</v>
      </c>
      <c r="J60" s="29">
        <v>1818.0</v>
      </c>
      <c r="K60" s="30">
        <f t="array" ref="K60">XLOOKUP(Staff[Rating],$O$2:$O$6,$P$2:$P$6)</f>
        <v>3</v>
      </c>
      <c r="L60" s="30">
        <f>YEAR(Staff[Date Joined])</f>
        <v>2022</v>
      </c>
    </row>
    <row r="61" ht="22.5" customHeight="1">
      <c r="A61" s="23" t="s">
        <v>141</v>
      </c>
      <c r="B61" s="7" t="s">
        <v>24</v>
      </c>
      <c r="C61" s="7" t="s">
        <v>33</v>
      </c>
      <c r="D61" s="24">
        <v>30.0</v>
      </c>
      <c r="E61" s="25">
        <v>44607.0</v>
      </c>
      <c r="F61" s="26">
        <v>60570.0</v>
      </c>
      <c r="G61" s="7" t="s">
        <v>29</v>
      </c>
      <c r="H61" s="27" t="s">
        <v>31</v>
      </c>
      <c r="I61" s="28">
        <f t="shared" si="1"/>
        <v>4.254794521</v>
      </c>
      <c r="J61" s="29">
        <v>1818.0</v>
      </c>
      <c r="K61" s="30">
        <f t="array" ref="K61">XLOOKUP(Staff[Rating],$O$2:$O$6,$P$2:$P$6)</f>
        <v>3</v>
      </c>
      <c r="L61" s="30">
        <f>YEAR(Staff[Date Joined])</f>
        <v>2022</v>
      </c>
    </row>
    <row r="62" ht="22.5" customHeight="1">
      <c r="A62" s="23" t="s">
        <v>49</v>
      </c>
      <c r="B62" s="7" t="s">
        <v>35</v>
      </c>
      <c r="C62" s="7" t="s">
        <v>30</v>
      </c>
      <c r="D62" s="24">
        <v>24.0</v>
      </c>
      <c r="E62" s="25">
        <v>44148.0</v>
      </c>
      <c r="F62" s="26">
        <v>62780.0</v>
      </c>
      <c r="G62" s="7" t="s">
        <v>29</v>
      </c>
      <c r="H62" s="27" t="s">
        <v>27</v>
      </c>
      <c r="I62" s="28">
        <f t="shared" si="1"/>
        <v>5.512328767</v>
      </c>
      <c r="J62" s="29">
        <v>1884.0</v>
      </c>
      <c r="K62" s="30">
        <f t="array" ref="K62">XLOOKUP(Staff[Rating],$O$2:$O$6,$P$2:$P$6)</f>
        <v>3</v>
      </c>
      <c r="L62" s="30">
        <f>YEAR(Staff[Date Joined])</f>
        <v>2020</v>
      </c>
    </row>
    <row r="63" ht="22.5" customHeight="1">
      <c r="A63" s="23" t="s">
        <v>199</v>
      </c>
      <c r="B63" s="7" t="s">
        <v>35</v>
      </c>
      <c r="C63" s="7" t="s">
        <v>30</v>
      </c>
      <c r="D63" s="24">
        <v>24.0</v>
      </c>
      <c r="E63" s="25">
        <v>44087.0</v>
      </c>
      <c r="F63" s="26">
        <v>62780.0</v>
      </c>
      <c r="G63" s="7" t="s">
        <v>29</v>
      </c>
      <c r="H63" s="27" t="s">
        <v>31</v>
      </c>
      <c r="I63" s="28">
        <f t="shared" si="1"/>
        <v>5.679452055</v>
      </c>
      <c r="J63" s="29">
        <v>1884.0</v>
      </c>
      <c r="K63" s="30">
        <f t="array" ref="K63">XLOOKUP(Staff[Rating],$O$2:$O$6,$P$2:$P$6)</f>
        <v>3</v>
      </c>
      <c r="L63" s="30">
        <f>YEAR(Staff[Date Joined])</f>
        <v>2020</v>
      </c>
    </row>
    <row r="64" ht="22.5" customHeight="1">
      <c r="A64" s="23" t="s">
        <v>84</v>
      </c>
      <c r="B64" s="7" t="s">
        <v>224</v>
      </c>
      <c r="C64" s="7" t="s">
        <v>39</v>
      </c>
      <c r="D64" s="24">
        <v>30.0</v>
      </c>
      <c r="E64" s="25">
        <v>44597.0</v>
      </c>
      <c r="F64" s="26">
        <v>64000.0</v>
      </c>
      <c r="G64" s="7" t="s">
        <v>29</v>
      </c>
      <c r="H64" s="27" t="s">
        <v>27</v>
      </c>
      <c r="I64" s="28">
        <f t="shared" si="1"/>
        <v>4.282191781</v>
      </c>
      <c r="J64" s="29">
        <v>1920.0</v>
      </c>
      <c r="K64" s="30">
        <f t="array" ref="K64">XLOOKUP(Staff[Rating],$O$2:$O$6,$P$2:$P$6)</f>
        <v>3</v>
      </c>
      <c r="L64" s="30">
        <f>YEAR(Staff[Date Joined])</f>
        <v>2022</v>
      </c>
    </row>
    <row r="65" ht="22.5" customHeight="1">
      <c r="A65" s="23" t="s">
        <v>147</v>
      </c>
      <c r="B65" s="7" t="s">
        <v>224</v>
      </c>
      <c r="C65" s="7" t="s">
        <v>39</v>
      </c>
      <c r="D65" s="24">
        <v>30.0</v>
      </c>
      <c r="E65" s="25">
        <v>44535.0</v>
      </c>
      <c r="F65" s="26">
        <v>64000.0</v>
      </c>
      <c r="G65" s="7" t="s">
        <v>29</v>
      </c>
      <c r="H65" s="27" t="s">
        <v>31</v>
      </c>
      <c r="I65" s="28">
        <f t="shared" si="1"/>
        <v>4.452054795</v>
      </c>
      <c r="J65" s="29">
        <v>1920.0</v>
      </c>
      <c r="K65" s="30">
        <f t="array" ref="K65">XLOOKUP(Staff[Rating],$O$2:$O$6,$P$2:$P$6)</f>
        <v>3</v>
      </c>
      <c r="L65" s="30">
        <f>YEAR(Staff[Date Joined])</f>
        <v>2021</v>
      </c>
    </row>
    <row r="66" ht="22.5" customHeight="1">
      <c r="A66" s="23" t="s">
        <v>206</v>
      </c>
      <c r="B66" s="7" t="s">
        <v>35</v>
      </c>
      <c r="C66" s="7" t="s">
        <v>39</v>
      </c>
      <c r="D66" s="24">
        <v>33.0</v>
      </c>
      <c r="E66" s="25">
        <v>44067.0</v>
      </c>
      <c r="F66" s="26">
        <v>65360.0</v>
      </c>
      <c r="G66" s="7" t="s">
        <v>29</v>
      </c>
      <c r="H66" s="27" t="s">
        <v>27</v>
      </c>
      <c r="I66" s="28">
        <f t="shared" si="1"/>
        <v>5.734246575</v>
      </c>
      <c r="J66" s="29">
        <v>1961.0</v>
      </c>
      <c r="K66" s="30">
        <f t="array" ref="K66">XLOOKUP(Staff[Rating],$O$2:$O$6,$P$2:$P$6)</f>
        <v>3</v>
      </c>
      <c r="L66" s="30">
        <f>YEAR(Staff[Date Joined])</f>
        <v>2020</v>
      </c>
    </row>
    <row r="67" ht="22.5" customHeight="1">
      <c r="A67" s="23" t="s">
        <v>145</v>
      </c>
      <c r="B67" s="7" t="s">
        <v>35</v>
      </c>
      <c r="C67" s="7" t="s">
        <v>39</v>
      </c>
      <c r="D67" s="24">
        <v>33.0</v>
      </c>
      <c r="E67" s="25">
        <v>44006.0</v>
      </c>
      <c r="F67" s="26">
        <v>65360.0</v>
      </c>
      <c r="G67" s="7" t="s">
        <v>29</v>
      </c>
      <c r="H67" s="27" t="s">
        <v>31</v>
      </c>
      <c r="I67" s="28">
        <f t="shared" si="1"/>
        <v>5.901369863</v>
      </c>
      <c r="J67" s="29">
        <v>1961.0</v>
      </c>
      <c r="K67" s="30">
        <f t="array" ref="K67">XLOOKUP(Staff[Rating],$O$2:$O$6,$P$2:$P$6)</f>
        <v>3</v>
      </c>
      <c r="L67" s="30">
        <f>YEAR(Staff[Date Joined])</f>
        <v>2020</v>
      </c>
    </row>
    <row r="68" ht="22.5" customHeight="1">
      <c r="A68" s="23" t="s">
        <v>57</v>
      </c>
      <c r="B68" s="7" t="s">
        <v>24</v>
      </c>
      <c r="C68" s="7" t="s">
        <v>25</v>
      </c>
      <c r="D68" s="24">
        <v>25.0</v>
      </c>
      <c r="E68" s="25">
        <v>44383.0</v>
      </c>
      <c r="F68" s="26">
        <v>65700.0</v>
      </c>
      <c r="G68" s="7" t="s">
        <v>29</v>
      </c>
      <c r="H68" s="27" t="s">
        <v>27</v>
      </c>
      <c r="I68" s="28">
        <f t="shared" si="1"/>
        <v>4.868493151</v>
      </c>
      <c r="J68" s="29">
        <v>1971.0</v>
      </c>
      <c r="K68" s="30">
        <f t="array" ref="K68">XLOOKUP(Staff[Rating],$O$2:$O$6,$P$2:$P$6)</f>
        <v>3</v>
      </c>
      <c r="L68" s="30">
        <f>YEAR(Staff[Date Joined])</f>
        <v>2021</v>
      </c>
    </row>
    <row r="69" ht="22.5" customHeight="1">
      <c r="A69" s="23" t="s">
        <v>203</v>
      </c>
      <c r="B69" s="7" t="s">
        <v>24</v>
      </c>
      <c r="C69" s="7" t="s">
        <v>25</v>
      </c>
      <c r="D69" s="24">
        <v>25.0</v>
      </c>
      <c r="E69" s="25">
        <v>44322.0</v>
      </c>
      <c r="F69" s="26">
        <v>65700.0</v>
      </c>
      <c r="G69" s="7" t="s">
        <v>29</v>
      </c>
      <c r="H69" s="27" t="s">
        <v>31</v>
      </c>
      <c r="I69" s="28">
        <f t="shared" si="1"/>
        <v>5.035616438</v>
      </c>
      <c r="J69" s="29">
        <v>1971.0</v>
      </c>
      <c r="K69" s="30">
        <f t="array" ref="K69">XLOOKUP(Staff[Rating],$O$2:$O$6,$P$2:$P$6)</f>
        <v>3</v>
      </c>
      <c r="L69" s="30">
        <f>YEAR(Staff[Date Joined])</f>
        <v>2021</v>
      </c>
    </row>
    <row r="70" ht="22.5" customHeight="1">
      <c r="A70" s="23" t="s">
        <v>172</v>
      </c>
      <c r="B70" s="7" t="s">
        <v>35</v>
      </c>
      <c r="C70" s="7" t="s">
        <v>39</v>
      </c>
      <c r="D70" s="24">
        <v>21.0</v>
      </c>
      <c r="E70" s="25">
        <v>44317.0</v>
      </c>
      <c r="F70" s="26">
        <v>65920.0</v>
      </c>
      <c r="G70" s="7" t="s">
        <v>29</v>
      </c>
      <c r="H70" s="27" t="s">
        <v>27</v>
      </c>
      <c r="I70" s="28">
        <f t="shared" si="1"/>
        <v>5.049315068</v>
      </c>
      <c r="J70" s="29">
        <v>1978.0</v>
      </c>
      <c r="K70" s="30">
        <f t="array" ref="K70">XLOOKUP(Staff[Rating],$O$2:$O$6,$P$2:$P$6)</f>
        <v>3</v>
      </c>
      <c r="L70" s="30">
        <f>YEAR(Staff[Date Joined])</f>
        <v>2021</v>
      </c>
    </row>
    <row r="71" ht="22.5" customHeight="1">
      <c r="A71" s="23" t="s">
        <v>100</v>
      </c>
      <c r="B71" s="7" t="s">
        <v>35</v>
      </c>
      <c r="C71" s="7" t="s">
        <v>39</v>
      </c>
      <c r="D71" s="24">
        <v>21.0</v>
      </c>
      <c r="E71" s="25">
        <v>44256.0</v>
      </c>
      <c r="F71" s="26">
        <v>65920.0</v>
      </c>
      <c r="G71" s="7" t="s">
        <v>29</v>
      </c>
      <c r="H71" s="27" t="s">
        <v>31</v>
      </c>
      <c r="I71" s="28">
        <f t="shared" si="1"/>
        <v>5.216438356</v>
      </c>
      <c r="J71" s="29">
        <v>1978.0</v>
      </c>
      <c r="K71" s="30">
        <f t="array" ref="K71">XLOOKUP(Staff[Rating],$O$2:$O$6,$P$2:$P$6)</f>
        <v>3</v>
      </c>
      <c r="L71" s="30">
        <f>YEAR(Staff[Date Joined])</f>
        <v>2021</v>
      </c>
    </row>
    <row r="72" ht="22.5" customHeight="1">
      <c r="A72" s="23" t="s">
        <v>77</v>
      </c>
      <c r="B72" s="7" t="s">
        <v>35</v>
      </c>
      <c r="C72" s="7" t="s">
        <v>39</v>
      </c>
      <c r="D72" s="24">
        <v>30.0</v>
      </c>
      <c r="E72" s="25">
        <v>44389.0</v>
      </c>
      <c r="F72" s="26">
        <v>67910.0</v>
      </c>
      <c r="G72" s="7" t="s">
        <v>40</v>
      </c>
      <c r="H72" s="27" t="s">
        <v>27</v>
      </c>
      <c r="I72" s="28">
        <f t="shared" si="1"/>
        <v>4.852054795</v>
      </c>
      <c r="J72" s="29">
        <v>2038.0</v>
      </c>
      <c r="K72" s="30">
        <f t="array" ref="K72">XLOOKUP(Staff[Rating],$O$2:$O$6,$P$2:$P$6)</f>
        <v>2</v>
      </c>
      <c r="L72" s="30">
        <f>YEAR(Staff[Date Joined])</f>
        <v>2021</v>
      </c>
    </row>
    <row r="73" ht="22.5" customHeight="1">
      <c r="A73" s="23" t="s">
        <v>179</v>
      </c>
      <c r="B73" s="7" t="s">
        <v>35</v>
      </c>
      <c r="C73" s="7" t="s">
        <v>39</v>
      </c>
      <c r="D73" s="24">
        <v>30.0</v>
      </c>
      <c r="E73" s="25">
        <v>44328.0</v>
      </c>
      <c r="F73" s="26">
        <v>67910.0</v>
      </c>
      <c r="G73" s="7" t="s">
        <v>40</v>
      </c>
      <c r="H73" s="27" t="s">
        <v>31</v>
      </c>
      <c r="I73" s="28">
        <f t="shared" si="1"/>
        <v>5.019178082</v>
      </c>
      <c r="J73" s="29">
        <v>2038.0</v>
      </c>
      <c r="K73" s="30">
        <f t="array" ref="K73">XLOOKUP(Staff[Rating],$O$2:$O$6,$P$2:$P$6)</f>
        <v>2</v>
      </c>
      <c r="L73" s="30">
        <f>YEAR(Staff[Date Joined])</f>
        <v>2021</v>
      </c>
    </row>
    <row r="74" ht="22.5" customHeight="1">
      <c r="A74" s="23" t="s">
        <v>214</v>
      </c>
      <c r="B74" s="7" t="s">
        <v>24</v>
      </c>
      <c r="C74" s="7" t="s">
        <v>33</v>
      </c>
      <c r="D74" s="24">
        <v>30.0</v>
      </c>
      <c r="E74" s="25">
        <v>44701.0</v>
      </c>
      <c r="F74" s="26">
        <v>67950.0</v>
      </c>
      <c r="G74" s="7" t="s">
        <v>29</v>
      </c>
      <c r="H74" s="27" t="s">
        <v>27</v>
      </c>
      <c r="I74" s="28">
        <f t="shared" si="1"/>
        <v>3.997260274</v>
      </c>
      <c r="J74" s="29">
        <v>1359.0</v>
      </c>
      <c r="K74" s="30">
        <f t="array" ref="K74">XLOOKUP(Staff[Rating],$O$2:$O$6,$P$2:$P$6)</f>
        <v>3</v>
      </c>
      <c r="L74" s="30">
        <f>YEAR(Staff[Date Joined])</f>
        <v>2022</v>
      </c>
    </row>
    <row r="75" ht="22.5" customHeight="1">
      <c r="A75" s="23" t="s">
        <v>195</v>
      </c>
      <c r="B75" s="7" t="s">
        <v>24</v>
      </c>
      <c r="C75" s="7" t="s">
        <v>33</v>
      </c>
      <c r="D75" s="24">
        <v>30.0</v>
      </c>
      <c r="E75" s="25">
        <v>44640.0</v>
      </c>
      <c r="F75" s="26">
        <v>67950.0</v>
      </c>
      <c r="G75" s="7" t="s">
        <v>29</v>
      </c>
      <c r="H75" s="27" t="s">
        <v>31</v>
      </c>
      <c r="I75" s="28">
        <f t="shared" si="1"/>
        <v>4.164383562</v>
      </c>
      <c r="J75" s="29">
        <v>2039.0</v>
      </c>
      <c r="K75" s="30">
        <f t="array" ref="K75">XLOOKUP(Staff[Rating],$O$2:$O$6,$P$2:$P$6)</f>
        <v>3</v>
      </c>
      <c r="L75" s="30">
        <f>YEAR(Staff[Date Joined])</f>
        <v>2022</v>
      </c>
    </row>
    <row r="76" ht="22.5" customHeight="1">
      <c r="A76" s="23" t="s">
        <v>129</v>
      </c>
      <c r="B76" s="7" t="s">
        <v>35</v>
      </c>
      <c r="C76" s="7" t="s">
        <v>25</v>
      </c>
      <c r="D76" s="24">
        <v>20.0</v>
      </c>
      <c r="E76" s="25">
        <v>44537.0</v>
      </c>
      <c r="F76" s="26">
        <v>68900.0</v>
      </c>
      <c r="G76" s="7" t="s">
        <v>40</v>
      </c>
      <c r="H76" s="27" t="s">
        <v>27</v>
      </c>
      <c r="I76" s="28">
        <f t="shared" si="1"/>
        <v>4.446575342</v>
      </c>
      <c r="J76" s="29">
        <v>2067.0</v>
      </c>
      <c r="K76" s="30">
        <f t="array" ref="K76">XLOOKUP(Staff[Rating],$O$2:$O$6,$P$2:$P$6)</f>
        <v>2</v>
      </c>
      <c r="L76" s="30">
        <f>YEAR(Staff[Date Joined])</f>
        <v>2021</v>
      </c>
    </row>
    <row r="77" ht="22.5" customHeight="1">
      <c r="A77" s="23" t="s">
        <v>157</v>
      </c>
      <c r="B77" s="7" t="s">
        <v>35</v>
      </c>
      <c r="C77" s="7" t="s">
        <v>25</v>
      </c>
      <c r="D77" s="24">
        <v>20.0</v>
      </c>
      <c r="E77" s="25">
        <v>44476.0</v>
      </c>
      <c r="F77" s="26">
        <v>68900.0</v>
      </c>
      <c r="G77" s="7" t="s">
        <v>40</v>
      </c>
      <c r="H77" s="27" t="s">
        <v>31</v>
      </c>
      <c r="I77" s="28">
        <f t="shared" si="1"/>
        <v>4.61369863</v>
      </c>
      <c r="J77" s="29">
        <v>2067.0</v>
      </c>
      <c r="K77" s="30">
        <f t="array" ref="K77">XLOOKUP(Staff[Rating],$O$2:$O$6,$P$2:$P$6)</f>
        <v>2</v>
      </c>
      <c r="L77" s="30">
        <f>YEAR(Staff[Date Joined])</f>
        <v>2021</v>
      </c>
    </row>
    <row r="78" ht="22.5" customHeight="1">
      <c r="A78" s="23" t="s">
        <v>59</v>
      </c>
      <c r="B78" s="7" t="s">
        <v>24</v>
      </c>
      <c r="C78" s="7" t="s">
        <v>30</v>
      </c>
      <c r="D78" s="24">
        <v>37.0</v>
      </c>
      <c r="E78" s="25">
        <v>44701.0</v>
      </c>
      <c r="F78" s="26">
        <v>69070.0</v>
      </c>
      <c r="G78" s="7" t="s">
        <v>29</v>
      </c>
      <c r="H78" s="27" t="s">
        <v>27</v>
      </c>
      <c r="I78" s="28">
        <f t="shared" si="1"/>
        <v>3.997260274</v>
      </c>
      <c r="J78" s="29">
        <v>1382.0</v>
      </c>
      <c r="K78" s="30">
        <f t="array" ref="K78">XLOOKUP(Staff[Rating],$O$2:$O$6,$P$2:$P$6)</f>
        <v>3</v>
      </c>
      <c r="L78" s="30">
        <f>YEAR(Staff[Date Joined])</f>
        <v>2022</v>
      </c>
    </row>
    <row r="79" ht="22.5" customHeight="1">
      <c r="A79" s="23" t="s">
        <v>177</v>
      </c>
      <c r="B79" s="7" t="s">
        <v>24</v>
      </c>
      <c r="C79" s="7" t="s">
        <v>30</v>
      </c>
      <c r="D79" s="24">
        <v>37.0</v>
      </c>
      <c r="E79" s="25">
        <v>44640.0</v>
      </c>
      <c r="F79" s="26">
        <v>69070.0</v>
      </c>
      <c r="G79" s="7" t="s">
        <v>29</v>
      </c>
      <c r="H79" s="27" t="s">
        <v>31</v>
      </c>
      <c r="I79" s="28">
        <f t="shared" si="1"/>
        <v>4.164383562</v>
      </c>
      <c r="J79" s="29">
        <v>2073.0</v>
      </c>
      <c r="K79" s="30">
        <f t="array" ref="K79">XLOOKUP(Staff[Rating],$O$2:$O$6,$P$2:$P$6)</f>
        <v>3</v>
      </c>
      <c r="L79" s="30">
        <f>YEAR(Staff[Date Joined])</f>
        <v>2022</v>
      </c>
    </row>
    <row r="80" ht="22.5" customHeight="1">
      <c r="A80" s="23" t="s">
        <v>152</v>
      </c>
      <c r="B80" s="7" t="s">
        <v>24</v>
      </c>
      <c r="C80" s="7" t="s">
        <v>30</v>
      </c>
      <c r="D80" s="24">
        <v>30.0</v>
      </c>
      <c r="E80" s="25">
        <v>44273.0</v>
      </c>
      <c r="F80" s="26">
        <v>69120.0</v>
      </c>
      <c r="G80" s="7" t="s">
        <v>29</v>
      </c>
      <c r="H80" s="27" t="s">
        <v>27</v>
      </c>
      <c r="I80" s="28">
        <f t="shared" si="1"/>
        <v>5.169863014</v>
      </c>
      <c r="J80" s="29">
        <v>2074.0</v>
      </c>
      <c r="K80" s="30">
        <f t="array" ref="K80">XLOOKUP(Staff[Rating],$O$2:$O$6,$P$2:$P$6)</f>
        <v>3</v>
      </c>
      <c r="L80" s="30">
        <f>YEAR(Staff[Date Joined])</f>
        <v>2021</v>
      </c>
    </row>
    <row r="81" ht="22.5" customHeight="1">
      <c r="A81" s="23" t="s">
        <v>181</v>
      </c>
      <c r="B81" s="7" t="s">
        <v>24</v>
      </c>
      <c r="C81" s="7" t="s">
        <v>30</v>
      </c>
      <c r="D81" s="24">
        <v>30.0</v>
      </c>
      <c r="E81" s="25">
        <v>44214.0</v>
      </c>
      <c r="F81" s="26">
        <v>69120.0</v>
      </c>
      <c r="G81" s="7" t="s">
        <v>29</v>
      </c>
      <c r="H81" s="27" t="s">
        <v>31</v>
      </c>
      <c r="I81" s="28">
        <f t="shared" si="1"/>
        <v>5.331506849</v>
      </c>
      <c r="J81" s="29">
        <v>2074.0</v>
      </c>
      <c r="K81" s="30">
        <f t="array" ref="K81">XLOOKUP(Staff[Rating],$O$2:$O$6,$P$2:$P$6)</f>
        <v>3</v>
      </c>
      <c r="L81" s="30">
        <f>YEAR(Staff[Date Joined])</f>
        <v>2021</v>
      </c>
    </row>
    <row r="82" ht="22.5" customHeight="1">
      <c r="A82" s="23" t="s">
        <v>144</v>
      </c>
      <c r="B82" s="7" t="s">
        <v>24</v>
      </c>
      <c r="C82" s="7" t="s">
        <v>30</v>
      </c>
      <c r="D82" s="24">
        <v>30.0</v>
      </c>
      <c r="E82" s="25">
        <v>44850.0</v>
      </c>
      <c r="F82" s="26">
        <v>69710.0</v>
      </c>
      <c r="G82" s="7" t="s">
        <v>29</v>
      </c>
      <c r="H82" s="27" t="s">
        <v>27</v>
      </c>
      <c r="I82" s="28">
        <f t="shared" si="1"/>
        <v>3.589041096</v>
      </c>
      <c r="J82" s="29">
        <v>1395.0</v>
      </c>
      <c r="K82" s="30">
        <f t="array" ref="K82">XLOOKUP(Staff[Rating],$O$2:$O$6,$P$2:$P$6)</f>
        <v>3</v>
      </c>
      <c r="L82" s="30">
        <f>YEAR(Staff[Date Joined])</f>
        <v>2022</v>
      </c>
    </row>
    <row r="83" ht="22.5" customHeight="1">
      <c r="A83" s="23" t="s">
        <v>70</v>
      </c>
      <c r="B83" s="7" t="s">
        <v>24</v>
      </c>
      <c r="C83" s="7" t="s">
        <v>30</v>
      </c>
      <c r="D83" s="24">
        <v>30.0</v>
      </c>
      <c r="E83" s="25">
        <v>44789.0</v>
      </c>
      <c r="F83" s="26">
        <v>69710.0</v>
      </c>
      <c r="G83" s="7" t="s">
        <v>29</v>
      </c>
      <c r="H83" s="27" t="s">
        <v>31</v>
      </c>
      <c r="I83" s="28">
        <f t="shared" si="1"/>
        <v>3.756164384</v>
      </c>
      <c r="J83" s="29">
        <v>1395.0</v>
      </c>
      <c r="K83" s="30">
        <f t="array" ref="K83">XLOOKUP(Staff[Rating],$O$2:$O$6,$P$2:$P$6)</f>
        <v>3</v>
      </c>
      <c r="L83" s="30">
        <f>YEAR(Staff[Date Joined])</f>
        <v>2022</v>
      </c>
    </row>
    <row r="84" ht="22.5" customHeight="1">
      <c r="A84" s="23" t="s">
        <v>216</v>
      </c>
      <c r="B84" s="7" t="s">
        <v>24</v>
      </c>
      <c r="C84" s="7" t="s">
        <v>39</v>
      </c>
      <c r="D84" s="24">
        <v>42.0</v>
      </c>
      <c r="E84" s="25">
        <v>44731.0</v>
      </c>
      <c r="F84" s="26">
        <v>70270.0</v>
      </c>
      <c r="G84" s="7" t="s">
        <v>40</v>
      </c>
      <c r="H84" s="27" t="s">
        <v>27</v>
      </c>
      <c r="I84" s="28">
        <f t="shared" si="1"/>
        <v>3.915068493</v>
      </c>
      <c r="J84" s="29">
        <v>1406.0</v>
      </c>
      <c r="K84" s="30">
        <f t="array" ref="K84">XLOOKUP(Staff[Rating],$O$2:$O$6,$P$2:$P$6)</f>
        <v>2</v>
      </c>
      <c r="L84" s="30">
        <f>YEAR(Staff[Date Joined])</f>
        <v>2022</v>
      </c>
    </row>
    <row r="85" ht="22.5" customHeight="1">
      <c r="A85" s="23" t="s">
        <v>136</v>
      </c>
      <c r="B85" s="7" t="s">
        <v>24</v>
      </c>
      <c r="C85" s="7" t="s">
        <v>39</v>
      </c>
      <c r="D85" s="24">
        <v>42.0</v>
      </c>
      <c r="E85" s="25">
        <v>44670.0</v>
      </c>
      <c r="F85" s="26">
        <v>70270.0</v>
      </c>
      <c r="G85" s="7" t="s">
        <v>40</v>
      </c>
      <c r="H85" s="27" t="s">
        <v>31</v>
      </c>
      <c r="I85" s="28">
        <f t="shared" si="1"/>
        <v>4.082191781</v>
      </c>
      <c r="J85" s="29">
        <v>2109.0</v>
      </c>
      <c r="K85" s="30">
        <f t="array" ref="K85">XLOOKUP(Staff[Rating],$O$2:$O$6,$P$2:$P$6)</f>
        <v>2</v>
      </c>
      <c r="L85" s="30">
        <f>YEAR(Staff[Date Joined])</f>
        <v>2022</v>
      </c>
    </row>
    <row r="86" ht="22.5" customHeight="1">
      <c r="A86" s="23" t="s">
        <v>32</v>
      </c>
      <c r="B86" s="7" t="s">
        <v>24</v>
      </c>
      <c r="C86" s="7" t="s">
        <v>33</v>
      </c>
      <c r="D86" s="24">
        <v>46.0</v>
      </c>
      <c r="E86" s="25">
        <v>44758.0</v>
      </c>
      <c r="F86" s="26">
        <v>70610.0</v>
      </c>
      <c r="G86" s="7" t="s">
        <v>29</v>
      </c>
      <c r="H86" s="27" t="s">
        <v>27</v>
      </c>
      <c r="I86" s="28">
        <f t="shared" si="1"/>
        <v>3.84109589</v>
      </c>
      <c r="J86" s="29">
        <v>1413.0</v>
      </c>
      <c r="K86" s="30">
        <f t="array" ref="K86">XLOOKUP(Staff[Rating],$O$2:$O$6,$P$2:$P$6)</f>
        <v>3</v>
      </c>
      <c r="L86" s="30">
        <f>YEAR(Staff[Date Joined])</f>
        <v>2022</v>
      </c>
    </row>
    <row r="87" ht="22.5" customHeight="1">
      <c r="A87" s="23" t="s">
        <v>213</v>
      </c>
      <c r="B87" s="7" t="s">
        <v>24</v>
      </c>
      <c r="C87" s="7" t="s">
        <v>33</v>
      </c>
      <c r="D87" s="24">
        <v>46.0</v>
      </c>
      <c r="E87" s="25">
        <v>44697.0</v>
      </c>
      <c r="F87" s="26">
        <v>70610.0</v>
      </c>
      <c r="G87" s="7" t="s">
        <v>29</v>
      </c>
      <c r="H87" s="27" t="s">
        <v>31</v>
      </c>
      <c r="I87" s="28">
        <f t="shared" si="1"/>
        <v>4.008219178</v>
      </c>
      <c r="J87" s="29">
        <v>2119.0</v>
      </c>
      <c r="K87" s="30">
        <f t="array" ref="K87">XLOOKUP(Staff[Rating],$O$2:$O$6,$P$2:$P$6)</f>
        <v>3</v>
      </c>
      <c r="L87" s="30">
        <f>YEAR(Staff[Date Joined])</f>
        <v>2022</v>
      </c>
    </row>
    <row r="88" ht="22.5" customHeight="1">
      <c r="A88" s="23" t="s">
        <v>146</v>
      </c>
      <c r="B88" s="7" t="s">
        <v>24</v>
      </c>
      <c r="C88" s="7" t="s">
        <v>39</v>
      </c>
      <c r="D88" s="24">
        <v>36.0</v>
      </c>
      <c r="E88" s="25">
        <v>44333.0</v>
      </c>
      <c r="F88" s="26">
        <v>71380.0</v>
      </c>
      <c r="G88" s="7" t="s">
        <v>29</v>
      </c>
      <c r="H88" s="27" t="s">
        <v>27</v>
      </c>
      <c r="I88" s="28">
        <f t="shared" si="1"/>
        <v>5.005479452</v>
      </c>
      <c r="J88" s="29">
        <v>2142.0</v>
      </c>
      <c r="K88" s="30">
        <f t="array" ref="K88">XLOOKUP(Staff[Rating],$O$2:$O$6,$P$2:$P$6)</f>
        <v>3</v>
      </c>
      <c r="L88" s="30">
        <f>YEAR(Staff[Date Joined])</f>
        <v>2021</v>
      </c>
    </row>
    <row r="89" ht="22.5" customHeight="1">
      <c r="A89" s="23" t="s">
        <v>169</v>
      </c>
      <c r="B89" s="7" t="s">
        <v>24</v>
      </c>
      <c r="C89" s="7" t="s">
        <v>39</v>
      </c>
      <c r="D89" s="24">
        <v>36.0</v>
      </c>
      <c r="E89" s="25">
        <v>44272.0</v>
      </c>
      <c r="F89" s="26">
        <v>71380.0</v>
      </c>
      <c r="G89" s="7" t="s">
        <v>29</v>
      </c>
      <c r="H89" s="27" t="s">
        <v>31</v>
      </c>
      <c r="I89" s="28">
        <f t="shared" si="1"/>
        <v>5.17260274</v>
      </c>
      <c r="J89" s="29">
        <v>2142.0</v>
      </c>
      <c r="K89" s="30">
        <f t="array" ref="K89">XLOOKUP(Staff[Rating],$O$2:$O$6,$P$2:$P$6)</f>
        <v>3</v>
      </c>
      <c r="L89" s="30">
        <f>YEAR(Staff[Date Joined])</f>
        <v>2021</v>
      </c>
    </row>
    <row r="90" ht="22.5" customHeight="1">
      <c r="A90" s="23" t="s">
        <v>212</v>
      </c>
      <c r="B90" s="7" t="s">
        <v>24</v>
      </c>
      <c r="C90" s="7" t="s">
        <v>25</v>
      </c>
      <c r="D90" s="24">
        <v>33.0</v>
      </c>
      <c r="E90" s="25">
        <v>44385.0</v>
      </c>
      <c r="F90" s="26">
        <v>74550.0</v>
      </c>
      <c r="G90" s="7" t="s">
        <v>29</v>
      </c>
      <c r="H90" s="27" t="s">
        <v>27</v>
      </c>
      <c r="I90" s="28">
        <f t="shared" si="1"/>
        <v>4.863013699</v>
      </c>
      <c r="J90" s="29">
        <v>2237.0</v>
      </c>
      <c r="K90" s="30">
        <f t="array" ref="K90">XLOOKUP(Staff[Rating],$O$2:$O$6,$P$2:$P$6)</f>
        <v>3</v>
      </c>
      <c r="L90" s="30">
        <f>YEAR(Staff[Date Joined])</f>
        <v>2021</v>
      </c>
    </row>
    <row r="91" ht="22.5" customHeight="1">
      <c r="A91" s="23" t="s">
        <v>52</v>
      </c>
      <c r="B91" s="7" t="s">
        <v>24</v>
      </c>
      <c r="C91" s="7" t="s">
        <v>25</v>
      </c>
      <c r="D91" s="24">
        <v>33.0</v>
      </c>
      <c r="E91" s="25">
        <v>44324.0</v>
      </c>
      <c r="F91" s="26">
        <v>74550.0</v>
      </c>
      <c r="G91" s="7" t="s">
        <v>29</v>
      </c>
      <c r="H91" s="27" t="s">
        <v>31</v>
      </c>
      <c r="I91" s="28">
        <f t="shared" si="1"/>
        <v>5.030136986</v>
      </c>
      <c r="J91" s="29">
        <v>2237.0</v>
      </c>
      <c r="K91" s="30">
        <f t="array" ref="K91">XLOOKUP(Staff[Rating],$O$2:$O$6,$P$2:$P$6)</f>
        <v>3</v>
      </c>
      <c r="L91" s="30">
        <f>YEAR(Staff[Date Joined])</f>
        <v>2021</v>
      </c>
    </row>
    <row r="92" ht="22.5" customHeight="1">
      <c r="A92" s="23" t="s">
        <v>86</v>
      </c>
      <c r="B92" s="7" t="s">
        <v>35</v>
      </c>
      <c r="C92" s="7" t="s">
        <v>33</v>
      </c>
      <c r="D92" s="24">
        <v>42.0</v>
      </c>
      <c r="E92" s="25">
        <v>44779.0</v>
      </c>
      <c r="F92" s="26">
        <v>75000.0</v>
      </c>
      <c r="G92" s="7" t="s">
        <v>83</v>
      </c>
      <c r="H92" s="27" t="s">
        <v>27</v>
      </c>
      <c r="I92" s="28">
        <f t="shared" si="1"/>
        <v>3.783561644</v>
      </c>
      <c r="J92" s="29">
        <v>1500.0</v>
      </c>
      <c r="K92" s="30">
        <f t="array" ref="K92">XLOOKUP(Staff[Rating],$O$2:$O$6,$P$2:$P$6)</f>
        <v>5</v>
      </c>
      <c r="L92" s="30">
        <f>YEAR(Staff[Date Joined])</f>
        <v>2022</v>
      </c>
    </row>
    <row r="93" ht="22.5" customHeight="1">
      <c r="A93" s="23" t="s">
        <v>82</v>
      </c>
      <c r="B93" s="7" t="s">
        <v>35</v>
      </c>
      <c r="C93" s="7" t="s">
        <v>33</v>
      </c>
      <c r="D93" s="24">
        <v>42.0</v>
      </c>
      <c r="E93" s="25">
        <v>44718.0</v>
      </c>
      <c r="F93" s="26">
        <v>75000.0</v>
      </c>
      <c r="G93" s="7" t="s">
        <v>83</v>
      </c>
      <c r="H93" s="27" t="s">
        <v>31</v>
      </c>
      <c r="I93" s="28">
        <f t="shared" si="1"/>
        <v>3.950684932</v>
      </c>
      <c r="J93" s="29">
        <v>1500.0</v>
      </c>
      <c r="K93" s="30">
        <f t="array" ref="K93">XLOOKUP(Staff[Rating],$O$2:$O$6,$P$2:$P$6)</f>
        <v>5</v>
      </c>
      <c r="L93" s="30">
        <f>YEAR(Staff[Date Joined])</f>
        <v>2022</v>
      </c>
    </row>
    <row r="94" ht="22.5" customHeight="1">
      <c r="A94" s="23" t="s">
        <v>210</v>
      </c>
      <c r="B94" s="7" t="s">
        <v>35</v>
      </c>
      <c r="C94" s="7" t="s">
        <v>30</v>
      </c>
      <c r="D94" s="24">
        <v>33.0</v>
      </c>
      <c r="E94" s="25">
        <v>44312.0</v>
      </c>
      <c r="F94" s="26">
        <v>75280.0</v>
      </c>
      <c r="G94" s="7" t="s">
        <v>29</v>
      </c>
      <c r="H94" s="27" t="s">
        <v>27</v>
      </c>
      <c r="I94" s="28">
        <f t="shared" si="1"/>
        <v>5.063013699</v>
      </c>
      <c r="J94" s="29">
        <v>2259.0</v>
      </c>
      <c r="K94" s="30">
        <f t="array" ref="K94">XLOOKUP(Staff[Rating],$O$2:$O$6,$P$2:$P$6)</f>
        <v>3</v>
      </c>
      <c r="L94" s="30">
        <f>YEAR(Staff[Date Joined])</f>
        <v>2021</v>
      </c>
    </row>
    <row r="95" ht="22.5" customHeight="1">
      <c r="A95" s="23" t="s">
        <v>126</v>
      </c>
      <c r="B95" s="7" t="s">
        <v>35</v>
      </c>
      <c r="C95" s="7" t="s">
        <v>30</v>
      </c>
      <c r="D95" s="24">
        <v>33.0</v>
      </c>
      <c r="E95" s="25">
        <v>44253.0</v>
      </c>
      <c r="F95" s="26">
        <v>75280.0</v>
      </c>
      <c r="G95" s="7" t="s">
        <v>29</v>
      </c>
      <c r="H95" s="27" t="s">
        <v>31</v>
      </c>
      <c r="I95" s="28">
        <f t="shared" si="1"/>
        <v>5.224657534</v>
      </c>
      <c r="J95" s="29">
        <v>2259.0</v>
      </c>
      <c r="K95" s="30">
        <f t="array" ref="K95">XLOOKUP(Staff[Rating],$O$2:$O$6,$P$2:$P$6)</f>
        <v>3</v>
      </c>
      <c r="L95" s="30">
        <f>YEAR(Staff[Date Joined])</f>
        <v>2021</v>
      </c>
    </row>
    <row r="96" ht="22.5" customHeight="1">
      <c r="A96" s="23" t="s">
        <v>96</v>
      </c>
      <c r="B96" s="7" t="s">
        <v>35</v>
      </c>
      <c r="C96" s="7" t="s">
        <v>30</v>
      </c>
      <c r="D96" s="24">
        <v>33.0</v>
      </c>
      <c r="E96" s="25">
        <v>44374.0</v>
      </c>
      <c r="F96" s="26">
        <v>75480.0</v>
      </c>
      <c r="G96" s="7" t="s">
        <v>97</v>
      </c>
      <c r="H96" s="27" t="s">
        <v>27</v>
      </c>
      <c r="I96" s="28">
        <f t="shared" si="1"/>
        <v>4.893150685</v>
      </c>
      <c r="J96" s="29">
        <v>2265.0</v>
      </c>
      <c r="K96" s="30">
        <f t="array" ref="K96">XLOOKUP(Staff[Rating],$O$2:$O$6,$P$2:$P$6)</f>
        <v>1</v>
      </c>
      <c r="L96" s="30">
        <f>YEAR(Staff[Date Joined])</f>
        <v>2021</v>
      </c>
    </row>
    <row r="97" ht="22.5" customHeight="1">
      <c r="A97" s="23" t="s">
        <v>205</v>
      </c>
      <c r="B97" s="7" t="s">
        <v>35</v>
      </c>
      <c r="C97" s="7" t="s">
        <v>30</v>
      </c>
      <c r="D97" s="24">
        <v>33.0</v>
      </c>
      <c r="E97" s="25">
        <v>44313.0</v>
      </c>
      <c r="F97" s="26">
        <v>75480.0</v>
      </c>
      <c r="G97" s="7" t="s">
        <v>97</v>
      </c>
      <c r="H97" s="27" t="s">
        <v>31</v>
      </c>
      <c r="I97" s="28">
        <f t="shared" si="1"/>
        <v>5.060273973</v>
      </c>
      <c r="J97" s="29">
        <v>2265.0</v>
      </c>
      <c r="K97" s="30">
        <f t="array" ref="K97">XLOOKUP(Staff[Rating],$O$2:$O$6,$P$2:$P$6)</f>
        <v>1</v>
      </c>
      <c r="L97" s="30">
        <f>YEAR(Staff[Date Joined])</f>
        <v>2021</v>
      </c>
    </row>
    <row r="98" ht="22.5" customHeight="1">
      <c r="A98" s="23" t="s">
        <v>73</v>
      </c>
      <c r="B98" s="7" t="s">
        <v>24</v>
      </c>
      <c r="C98" s="7" t="s">
        <v>42</v>
      </c>
      <c r="D98" s="24">
        <v>21.0</v>
      </c>
      <c r="E98" s="25">
        <v>44242.0</v>
      </c>
      <c r="F98" s="26">
        <v>75880.0</v>
      </c>
      <c r="G98" s="7" t="s">
        <v>29</v>
      </c>
      <c r="H98" s="27" t="s">
        <v>27</v>
      </c>
      <c r="I98" s="28">
        <f t="shared" si="1"/>
        <v>5.254794521</v>
      </c>
      <c r="J98" s="29">
        <v>2277.0</v>
      </c>
      <c r="K98" s="30">
        <f t="array" ref="K98">XLOOKUP(Staff[Rating],$O$2:$O$6,$P$2:$P$6)</f>
        <v>3</v>
      </c>
      <c r="L98" s="30">
        <f>YEAR(Staff[Date Joined])</f>
        <v>2021</v>
      </c>
    </row>
    <row r="99" ht="22.5" customHeight="1">
      <c r="A99" s="23" t="s">
        <v>118</v>
      </c>
      <c r="B99" s="7" t="s">
        <v>24</v>
      </c>
      <c r="C99" s="7" t="s">
        <v>42</v>
      </c>
      <c r="D99" s="24">
        <v>21.0</v>
      </c>
      <c r="E99" s="25">
        <v>44180.0</v>
      </c>
      <c r="F99" s="26">
        <v>75880.0</v>
      </c>
      <c r="G99" s="7" t="s">
        <v>29</v>
      </c>
      <c r="H99" s="27" t="s">
        <v>31</v>
      </c>
      <c r="I99" s="28">
        <f t="shared" si="1"/>
        <v>5.424657534</v>
      </c>
      <c r="J99" s="29">
        <v>2277.0</v>
      </c>
      <c r="K99" s="30">
        <f t="array" ref="K99">XLOOKUP(Staff[Rating],$O$2:$O$6,$P$2:$P$6)</f>
        <v>3</v>
      </c>
      <c r="L99" s="30">
        <f>YEAR(Staff[Date Joined])</f>
        <v>2020</v>
      </c>
    </row>
    <row r="100" ht="22.5" customHeight="1">
      <c r="A100" s="23" t="s">
        <v>92</v>
      </c>
      <c r="B100" s="7" t="s">
        <v>35</v>
      </c>
      <c r="C100" s="7" t="s">
        <v>39</v>
      </c>
      <c r="D100" s="24">
        <v>28.0</v>
      </c>
      <c r="E100" s="25">
        <v>44185.0</v>
      </c>
      <c r="F100" s="26">
        <v>75970.0</v>
      </c>
      <c r="G100" s="7" t="s">
        <v>29</v>
      </c>
      <c r="H100" s="27" t="s">
        <v>27</v>
      </c>
      <c r="I100" s="28">
        <f t="shared" si="1"/>
        <v>5.410958904</v>
      </c>
      <c r="J100" s="29">
        <v>2280.0</v>
      </c>
      <c r="K100" s="30">
        <f t="array" ref="K100">XLOOKUP(Staff[Rating],$O$2:$O$6,$P$2:$P$6)</f>
        <v>3</v>
      </c>
      <c r="L100" s="30">
        <f>YEAR(Staff[Date Joined])</f>
        <v>2020</v>
      </c>
    </row>
    <row r="101" ht="22.5" customHeight="1">
      <c r="A101" s="23" t="s">
        <v>138</v>
      </c>
      <c r="B101" s="7" t="s">
        <v>35</v>
      </c>
      <c r="C101" s="7" t="s">
        <v>39</v>
      </c>
      <c r="D101" s="24">
        <v>28.0</v>
      </c>
      <c r="E101" s="25">
        <v>44124.0</v>
      </c>
      <c r="F101" s="26">
        <v>75970.0</v>
      </c>
      <c r="G101" s="7" t="s">
        <v>29</v>
      </c>
      <c r="H101" s="27" t="s">
        <v>31</v>
      </c>
      <c r="I101" s="28">
        <f t="shared" si="1"/>
        <v>5.578082192</v>
      </c>
      <c r="J101" s="29">
        <v>2280.0</v>
      </c>
      <c r="K101" s="30">
        <f t="array" ref="K101">XLOOKUP(Staff[Rating],$O$2:$O$6,$P$2:$P$6)</f>
        <v>3</v>
      </c>
      <c r="L101" s="30">
        <f>YEAR(Staff[Date Joined])</f>
        <v>2020</v>
      </c>
    </row>
    <row r="102" ht="22.5" customHeight="1">
      <c r="A102" s="23" t="s">
        <v>156</v>
      </c>
      <c r="B102" s="7" t="s">
        <v>35</v>
      </c>
      <c r="C102" s="7" t="s">
        <v>33</v>
      </c>
      <c r="D102" s="24">
        <v>22.0</v>
      </c>
      <c r="E102" s="25">
        <v>44450.0</v>
      </c>
      <c r="F102" s="26">
        <v>76900.0</v>
      </c>
      <c r="G102" s="7" t="s">
        <v>26</v>
      </c>
      <c r="H102" s="27" t="s">
        <v>27</v>
      </c>
      <c r="I102" s="28">
        <f t="shared" si="1"/>
        <v>4.684931507</v>
      </c>
      <c r="J102" s="29">
        <v>2307.0</v>
      </c>
      <c r="K102" s="30">
        <f t="array" ref="K102">XLOOKUP(Staff[Rating],$O$2:$O$6,$P$2:$P$6)</f>
        <v>4</v>
      </c>
      <c r="L102" s="30">
        <f>YEAR(Staff[Date Joined])</f>
        <v>2021</v>
      </c>
    </row>
    <row r="103" ht="22.5" customHeight="1">
      <c r="A103" s="23" t="s">
        <v>74</v>
      </c>
      <c r="B103" s="7" t="s">
        <v>35</v>
      </c>
      <c r="C103" s="7" t="s">
        <v>33</v>
      </c>
      <c r="D103" s="24">
        <v>22.0</v>
      </c>
      <c r="E103" s="25">
        <v>44388.0</v>
      </c>
      <c r="F103" s="26">
        <v>76900.0</v>
      </c>
      <c r="G103" s="7" t="s">
        <v>26</v>
      </c>
      <c r="H103" s="27" t="s">
        <v>31</v>
      </c>
      <c r="I103" s="28">
        <f t="shared" si="1"/>
        <v>4.854794521</v>
      </c>
      <c r="J103" s="29">
        <v>2307.0</v>
      </c>
      <c r="K103" s="30">
        <f t="array" ref="K103">XLOOKUP(Staff[Rating],$O$2:$O$6,$P$2:$P$6)</f>
        <v>4</v>
      </c>
      <c r="L103" s="30">
        <f>YEAR(Staff[Date Joined])</f>
        <v>2021</v>
      </c>
    </row>
    <row r="104" ht="22.5" customHeight="1">
      <c r="A104" s="23" t="s">
        <v>117</v>
      </c>
      <c r="B104" s="7" t="s">
        <v>35</v>
      </c>
      <c r="C104" s="7" t="s">
        <v>33</v>
      </c>
      <c r="D104" s="24">
        <v>36.0</v>
      </c>
      <c r="E104" s="25">
        <v>44529.0</v>
      </c>
      <c r="F104" s="26">
        <v>78390.0</v>
      </c>
      <c r="G104" s="7" t="s">
        <v>29</v>
      </c>
      <c r="H104" s="27" t="s">
        <v>27</v>
      </c>
      <c r="I104" s="28">
        <f t="shared" si="1"/>
        <v>4.468493151</v>
      </c>
      <c r="J104" s="29">
        <v>2352.0</v>
      </c>
      <c r="K104" s="30">
        <f t="array" ref="K104">XLOOKUP(Staff[Rating],$O$2:$O$6,$P$2:$P$6)</f>
        <v>3</v>
      </c>
      <c r="L104" s="30">
        <f>YEAR(Staff[Date Joined])</f>
        <v>2021</v>
      </c>
    </row>
    <row r="105" ht="22.5" customHeight="1">
      <c r="A105" s="23" t="s">
        <v>189</v>
      </c>
      <c r="B105" s="7" t="s">
        <v>35</v>
      </c>
      <c r="C105" s="7" t="s">
        <v>33</v>
      </c>
      <c r="D105" s="24">
        <v>36.0</v>
      </c>
      <c r="E105" s="25">
        <v>44468.0</v>
      </c>
      <c r="F105" s="26">
        <v>78390.0</v>
      </c>
      <c r="G105" s="7" t="s">
        <v>29</v>
      </c>
      <c r="H105" s="27" t="s">
        <v>31</v>
      </c>
      <c r="I105" s="28">
        <f t="shared" si="1"/>
        <v>4.635616438</v>
      </c>
      <c r="J105" s="29">
        <v>2352.0</v>
      </c>
      <c r="K105" s="30">
        <f t="array" ref="K105">XLOOKUP(Staff[Rating],$O$2:$O$6,$P$2:$P$6)</f>
        <v>3</v>
      </c>
      <c r="L105" s="30">
        <f>YEAR(Staff[Date Joined])</f>
        <v>2021</v>
      </c>
    </row>
    <row r="106" ht="22.5" customHeight="1">
      <c r="A106" s="23" t="s">
        <v>101</v>
      </c>
      <c r="B106" s="7" t="s">
        <v>35</v>
      </c>
      <c r="C106" s="7" t="s">
        <v>25</v>
      </c>
      <c r="D106" s="24">
        <v>36.0</v>
      </c>
      <c r="E106" s="25">
        <v>44494.0</v>
      </c>
      <c r="F106" s="26">
        <v>78540.0</v>
      </c>
      <c r="G106" s="7" t="s">
        <v>29</v>
      </c>
      <c r="H106" s="27" t="s">
        <v>27</v>
      </c>
      <c r="I106" s="28">
        <f t="shared" si="1"/>
        <v>4.564383562</v>
      </c>
      <c r="J106" s="29">
        <v>2357.0</v>
      </c>
      <c r="K106" s="30">
        <f t="array" ref="K106">XLOOKUP(Staff[Rating],$O$2:$O$6,$P$2:$P$6)</f>
        <v>3</v>
      </c>
      <c r="L106" s="30">
        <f>YEAR(Staff[Date Joined])</f>
        <v>2021</v>
      </c>
    </row>
    <row r="107" ht="22.5" customHeight="1">
      <c r="A107" s="23" t="s">
        <v>209</v>
      </c>
      <c r="B107" s="7" t="s">
        <v>35</v>
      </c>
      <c r="C107" s="7" t="s">
        <v>25</v>
      </c>
      <c r="D107" s="24">
        <v>36.0</v>
      </c>
      <c r="E107" s="25">
        <v>44433.0</v>
      </c>
      <c r="F107" s="26">
        <v>78540.0</v>
      </c>
      <c r="G107" s="7" t="s">
        <v>29</v>
      </c>
      <c r="H107" s="27" t="s">
        <v>31</v>
      </c>
      <c r="I107" s="28">
        <f t="shared" si="1"/>
        <v>4.731506849</v>
      </c>
      <c r="J107" s="29">
        <v>2357.0</v>
      </c>
      <c r="K107" s="30">
        <f t="array" ref="K107">XLOOKUP(Staff[Rating],$O$2:$O$6,$P$2:$P$6)</f>
        <v>3</v>
      </c>
      <c r="L107" s="30">
        <f>YEAR(Staff[Date Joined])</f>
        <v>2021</v>
      </c>
    </row>
    <row r="108" ht="22.5" customHeight="1">
      <c r="A108" s="23" t="s">
        <v>127</v>
      </c>
      <c r="B108" s="7" t="s">
        <v>24</v>
      </c>
      <c r="C108" s="7" t="s">
        <v>33</v>
      </c>
      <c r="D108" s="24">
        <v>20.0</v>
      </c>
      <c r="E108" s="25">
        <v>44744.0</v>
      </c>
      <c r="F108" s="26">
        <v>79570.0</v>
      </c>
      <c r="G108" s="7" t="s">
        <v>29</v>
      </c>
      <c r="H108" s="27" t="s">
        <v>27</v>
      </c>
      <c r="I108" s="28">
        <f t="shared" si="1"/>
        <v>3.879452055</v>
      </c>
      <c r="J108" s="29">
        <v>1592.0</v>
      </c>
      <c r="K108" s="30">
        <f t="array" ref="K108">XLOOKUP(Staff[Rating],$O$2:$O$6,$P$2:$P$6)</f>
        <v>3</v>
      </c>
      <c r="L108" s="30">
        <f>YEAR(Staff[Date Joined])</f>
        <v>2022</v>
      </c>
    </row>
    <row r="109" ht="22.5" customHeight="1">
      <c r="A109" s="23" t="s">
        <v>72</v>
      </c>
      <c r="B109" s="7" t="s">
        <v>24</v>
      </c>
      <c r="C109" s="7" t="s">
        <v>33</v>
      </c>
      <c r="D109" s="24">
        <v>20.0</v>
      </c>
      <c r="E109" s="25">
        <v>44683.0</v>
      </c>
      <c r="F109" s="26">
        <v>79570.0</v>
      </c>
      <c r="G109" s="7" t="s">
        <v>29</v>
      </c>
      <c r="H109" s="27" t="s">
        <v>31</v>
      </c>
      <c r="I109" s="28">
        <f t="shared" si="1"/>
        <v>4.046575342</v>
      </c>
      <c r="J109" s="29">
        <v>2388.0</v>
      </c>
      <c r="K109" s="30">
        <f t="array" ref="K109">XLOOKUP(Staff[Rating],$O$2:$O$6,$P$2:$P$6)</f>
        <v>3</v>
      </c>
      <c r="L109" s="30">
        <f>YEAR(Staff[Date Joined])</f>
        <v>2022</v>
      </c>
    </row>
    <row r="110" ht="22.5" customHeight="1">
      <c r="A110" s="23" t="s">
        <v>131</v>
      </c>
      <c r="B110" s="7" t="s">
        <v>35</v>
      </c>
      <c r="C110" s="7" t="s">
        <v>30</v>
      </c>
      <c r="D110" s="24">
        <v>25.0</v>
      </c>
      <c r="E110" s="25">
        <v>44694.0</v>
      </c>
      <c r="F110" s="26">
        <v>80700.0</v>
      </c>
      <c r="G110" s="7" t="s">
        <v>26</v>
      </c>
      <c r="H110" s="27" t="s">
        <v>27</v>
      </c>
      <c r="I110" s="28">
        <f t="shared" si="1"/>
        <v>4.016438356</v>
      </c>
      <c r="J110" s="29">
        <v>2421.0</v>
      </c>
      <c r="K110" s="30">
        <f t="array" ref="K110">XLOOKUP(Staff[Rating],$O$2:$O$6,$P$2:$P$6)</f>
        <v>4</v>
      </c>
      <c r="L110" s="30">
        <f>YEAR(Staff[Date Joined])</f>
        <v>2022</v>
      </c>
    </row>
    <row r="111" ht="22.5" customHeight="1">
      <c r="A111" s="23" t="s">
        <v>104</v>
      </c>
      <c r="B111" s="7" t="s">
        <v>35</v>
      </c>
      <c r="C111" s="7" t="s">
        <v>30</v>
      </c>
      <c r="D111" s="24">
        <v>25.0</v>
      </c>
      <c r="E111" s="25">
        <v>44633.0</v>
      </c>
      <c r="F111" s="26">
        <v>80700.0</v>
      </c>
      <c r="G111" s="7" t="s">
        <v>26</v>
      </c>
      <c r="H111" s="27" t="s">
        <v>31</v>
      </c>
      <c r="I111" s="28">
        <f t="shared" si="1"/>
        <v>4.183561644</v>
      </c>
      <c r="J111" s="29">
        <v>2421.0</v>
      </c>
      <c r="K111" s="30">
        <f t="array" ref="K111">XLOOKUP(Staff[Rating],$O$2:$O$6,$P$2:$P$6)</f>
        <v>4</v>
      </c>
      <c r="L111" s="30">
        <f>YEAR(Staff[Date Joined])</f>
        <v>2022</v>
      </c>
    </row>
    <row r="112" ht="22.5" customHeight="1">
      <c r="A112" s="23" t="s">
        <v>121</v>
      </c>
      <c r="B112" s="7" t="s">
        <v>35</v>
      </c>
      <c r="C112" s="7" t="s">
        <v>30</v>
      </c>
      <c r="D112" s="24">
        <v>27.0</v>
      </c>
      <c r="E112" s="25">
        <v>44686.0</v>
      </c>
      <c r="F112" s="26">
        <v>83750.0</v>
      </c>
      <c r="G112" s="7" t="s">
        <v>29</v>
      </c>
      <c r="H112" s="27" t="s">
        <v>27</v>
      </c>
      <c r="I112" s="28">
        <f t="shared" si="1"/>
        <v>4.038356164</v>
      </c>
      <c r="J112" s="29">
        <v>2513.0</v>
      </c>
      <c r="K112" s="30">
        <f t="array" ref="K112">XLOOKUP(Staff[Rating],$O$2:$O$6,$P$2:$P$6)</f>
        <v>3</v>
      </c>
      <c r="L112" s="30">
        <f>YEAR(Staff[Date Joined])</f>
        <v>2022</v>
      </c>
    </row>
    <row r="113" ht="22.5" customHeight="1">
      <c r="A113" s="23" t="s">
        <v>153</v>
      </c>
      <c r="B113" s="7" t="s">
        <v>35</v>
      </c>
      <c r="C113" s="7" t="s">
        <v>30</v>
      </c>
      <c r="D113" s="24">
        <v>27.0</v>
      </c>
      <c r="E113" s="25">
        <v>44625.0</v>
      </c>
      <c r="F113" s="26">
        <v>83750.0</v>
      </c>
      <c r="G113" s="7" t="s">
        <v>29</v>
      </c>
      <c r="H113" s="27" t="s">
        <v>31</v>
      </c>
      <c r="I113" s="28">
        <f t="shared" si="1"/>
        <v>4.205479452</v>
      </c>
      <c r="J113" s="29">
        <v>2513.0</v>
      </c>
      <c r="K113" s="30">
        <f t="array" ref="K113">XLOOKUP(Staff[Rating],$O$2:$O$6,$P$2:$P$6)</f>
        <v>3</v>
      </c>
      <c r="L113" s="30">
        <f>YEAR(Staff[Date Joined])</f>
        <v>2022</v>
      </c>
    </row>
    <row r="114" ht="22.5" customHeight="1">
      <c r="A114" s="23" t="s">
        <v>200</v>
      </c>
      <c r="B114" s="7" t="s">
        <v>35</v>
      </c>
      <c r="C114" s="7" t="s">
        <v>39</v>
      </c>
      <c r="D114" s="24">
        <v>34.0</v>
      </c>
      <c r="E114" s="25">
        <v>44459.0</v>
      </c>
      <c r="F114" s="26">
        <v>85000.0</v>
      </c>
      <c r="G114" s="7" t="s">
        <v>29</v>
      </c>
      <c r="H114" s="27" t="s">
        <v>27</v>
      </c>
      <c r="I114" s="28">
        <f t="shared" si="1"/>
        <v>4.660273973</v>
      </c>
      <c r="J114" s="29">
        <v>2550.0</v>
      </c>
      <c r="K114" s="30">
        <f t="array" ref="K114">XLOOKUP(Staff[Rating],$O$2:$O$6,$P$2:$P$6)</f>
        <v>3</v>
      </c>
      <c r="L114" s="30">
        <f>YEAR(Staff[Date Joined])</f>
        <v>2021</v>
      </c>
    </row>
    <row r="115" ht="22.5" customHeight="1">
      <c r="A115" s="23" t="s">
        <v>122</v>
      </c>
      <c r="B115" s="7" t="s">
        <v>35</v>
      </c>
      <c r="C115" s="7" t="s">
        <v>39</v>
      </c>
      <c r="D115" s="24">
        <v>34.0</v>
      </c>
      <c r="E115" s="25">
        <v>44397.0</v>
      </c>
      <c r="F115" s="26">
        <v>85000.0</v>
      </c>
      <c r="G115" s="7" t="s">
        <v>29</v>
      </c>
      <c r="H115" s="27" t="s">
        <v>31</v>
      </c>
      <c r="I115" s="28">
        <f t="shared" si="1"/>
        <v>4.830136986</v>
      </c>
      <c r="J115" s="29">
        <v>2550.0</v>
      </c>
      <c r="K115" s="30">
        <f t="array" ref="K115">XLOOKUP(Staff[Rating],$O$2:$O$6,$P$2:$P$6)</f>
        <v>3</v>
      </c>
      <c r="L115" s="30">
        <f>YEAR(Staff[Date Joined])</f>
        <v>2021</v>
      </c>
    </row>
    <row r="116" ht="22.5" customHeight="1">
      <c r="A116" s="23" t="s">
        <v>119</v>
      </c>
      <c r="B116" s="7" t="s">
        <v>35</v>
      </c>
      <c r="C116" s="7" t="s">
        <v>39</v>
      </c>
      <c r="D116" s="24">
        <v>33.0</v>
      </c>
      <c r="E116" s="25">
        <v>44809.0</v>
      </c>
      <c r="F116" s="26">
        <v>86570.0</v>
      </c>
      <c r="G116" s="7" t="s">
        <v>29</v>
      </c>
      <c r="H116" s="27" t="s">
        <v>27</v>
      </c>
      <c r="I116" s="28">
        <f t="shared" si="1"/>
        <v>3.701369863</v>
      </c>
      <c r="J116" s="29">
        <v>1732.0</v>
      </c>
      <c r="K116" s="30">
        <f t="array" ref="K116">XLOOKUP(Staff[Rating],$O$2:$O$6,$P$2:$P$6)</f>
        <v>3</v>
      </c>
      <c r="L116" s="30">
        <f>YEAR(Staff[Date Joined])</f>
        <v>2022</v>
      </c>
    </row>
    <row r="117" ht="22.5" customHeight="1">
      <c r="A117" s="23" t="s">
        <v>173</v>
      </c>
      <c r="B117" s="7" t="s">
        <v>35</v>
      </c>
      <c r="C117" s="7" t="s">
        <v>39</v>
      </c>
      <c r="D117" s="24">
        <v>33.0</v>
      </c>
      <c r="E117" s="25">
        <v>44747.0</v>
      </c>
      <c r="F117" s="26">
        <v>86570.0</v>
      </c>
      <c r="G117" s="7" t="s">
        <v>29</v>
      </c>
      <c r="H117" s="27" t="s">
        <v>31</v>
      </c>
      <c r="I117" s="28">
        <f t="shared" si="1"/>
        <v>3.871232877</v>
      </c>
      <c r="J117" s="29">
        <v>1732.0</v>
      </c>
      <c r="K117" s="30">
        <f t="array" ref="K117">XLOOKUP(Staff[Rating],$O$2:$O$6,$P$2:$P$6)</f>
        <v>3</v>
      </c>
      <c r="L117" s="30">
        <f>YEAR(Staff[Date Joined])</f>
        <v>2022</v>
      </c>
    </row>
    <row r="118" ht="22.5" customHeight="1">
      <c r="A118" s="23" t="s">
        <v>88</v>
      </c>
      <c r="B118" s="7" t="s">
        <v>35</v>
      </c>
      <c r="C118" s="7" t="s">
        <v>30</v>
      </c>
      <c r="D118" s="24">
        <v>40.0</v>
      </c>
      <c r="E118" s="25">
        <v>44337.0</v>
      </c>
      <c r="F118" s="26">
        <v>87620.0</v>
      </c>
      <c r="G118" s="7" t="s">
        <v>29</v>
      </c>
      <c r="H118" s="27" t="s">
        <v>27</v>
      </c>
      <c r="I118" s="28">
        <f t="shared" si="1"/>
        <v>4.994520548</v>
      </c>
      <c r="J118" s="29">
        <v>2629.0</v>
      </c>
      <c r="K118" s="30">
        <f t="array" ref="K118">XLOOKUP(Staff[Rating],$O$2:$O$6,$P$2:$P$6)</f>
        <v>3</v>
      </c>
      <c r="L118" s="30">
        <f>YEAR(Staff[Date Joined])</f>
        <v>2021</v>
      </c>
    </row>
    <row r="119" ht="22.5" customHeight="1">
      <c r="A119" s="23" t="s">
        <v>155</v>
      </c>
      <c r="B119" s="7" t="s">
        <v>35</v>
      </c>
      <c r="C119" s="7" t="s">
        <v>30</v>
      </c>
      <c r="D119" s="24">
        <v>40.0</v>
      </c>
      <c r="E119" s="25">
        <v>44276.0</v>
      </c>
      <c r="F119" s="26">
        <v>87620.0</v>
      </c>
      <c r="G119" s="7" t="s">
        <v>29</v>
      </c>
      <c r="H119" s="27" t="s">
        <v>31</v>
      </c>
      <c r="I119" s="28">
        <f t="shared" si="1"/>
        <v>5.161643836</v>
      </c>
      <c r="J119" s="29">
        <v>2629.0</v>
      </c>
      <c r="K119" s="30">
        <f t="array" ref="K119">XLOOKUP(Staff[Rating],$O$2:$O$6,$P$2:$P$6)</f>
        <v>3</v>
      </c>
      <c r="L119" s="30">
        <f>YEAR(Staff[Date Joined])</f>
        <v>2021</v>
      </c>
    </row>
    <row r="120" ht="22.5" customHeight="1">
      <c r="A120" s="23" t="s">
        <v>180</v>
      </c>
      <c r="B120" s="7" t="s">
        <v>24</v>
      </c>
      <c r="C120" s="7" t="s">
        <v>30</v>
      </c>
      <c r="D120" s="24">
        <v>37.0</v>
      </c>
      <c r="E120" s="25">
        <v>44338.0</v>
      </c>
      <c r="F120" s="26">
        <v>88050.0</v>
      </c>
      <c r="G120" s="7" t="s">
        <v>40</v>
      </c>
      <c r="H120" s="27" t="s">
        <v>27</v>
      </c>
      <c r="I120" s="28">
        <f t="shared" si="1"/>
        <v>4.991780822</v>
      </c>
      <c r="J120" s="29">
        <v>2642.0</v>
      </c>
      <c r="K120" s="30">
        <f t="array" ref="K120">XLOOKUP(Staff[Rating],$O$2:$O$6,$P$2:$P$6)</f>
        <v>2</v>
      </c>
      <c r="L120" s="30">
        <f>YEAR(Staff[Date Joined])</f>
        <v>2021</v>
      </c>
    </row>
    <row r="121" ht="22.5" customHeight="1">
      <c r="A121" s="23" t="s">
        <v>78</v>
      </c>
      <c r="B121" s="7" t="s">
        <v>24</v>
      </c>
      <c r="C121" s="7" t="s">
        <v>30</v>
      </c>
      <c r="D121" s="24">
        <v>37.0</v>
      </c>
      <c r="E121" s="25">
        <v>44277.0</v>
      </c>
      <c r="F121" s="26">
        <v>88050.0</v>
      </c>
      <c r="G121" s="7" t="s">
        <v>40</v>
      </c>
      <c r="H121" s="27" t="s">
        <v>31</v>
      </c>
      <c r="I121" s="28">
        <f t="shared" si="1"/>
        <v>5.15890411</v>
      </c>
      <c r="J121" s="29">
        <v>2642.0</v>
      </c>
      <c r="K121" s="30">
        <f t="array" ref="K121">XLOOKUP(Staff[Rating],$O$2:$O$6,$P$2:$P$6)</f>
        <v>2</v>
      </c>
      <c r="L121" s="30">
        <f>YEAR(Staff[Date Joined])</f>
        <v>2021</v>
      </c>
    </row>
    <row r="122" ht="22.5" customHeight="1">
      <c r="A122" s="23" t="s">
        <v>166</v>
      </c>
      <c r="B122" s="7" t="s">
        <v>224</v>
      </c>
      <c r="C122" s="7" t="s">
        <v>30</v>
      </c>
      <c r="D122" s="24">
        <v>26.0</v>
      </c>
      <c r="E122" s="25">
        <v>44271.0</v>
      </c>
      <c r="F122" s="26">
        <v>90700.0</v>
      </c>
      <c r="G122" s="7" t="s">
        <v>26</v>
      </c>
      <c r="H122" s="27" t="s">
        <v>27</v>
      </c>
      <c r="I122" s="28">
        <f t="shared" si="1"/>
        <v>5.175342466</v>
      </c>
      <c r="J122" s="29">
        <v>2721.0</v>
      </c>
      <c r="K122" s="30">
        <f t="array" ref="K122">XLOOKUP(Staff[Rating],$O$2:$O$6,$P$2:$P$6)</f>
        <v>4</v>
      </c>
      <c r="L122" s="30">
        <f>YEAR(Staff[Date Joined])</f>
        <v>2021</v>
      </c>
    </row>
    <row r="123" ht="22.5" customHeight="1">
      <c r="A123" s="23" t="s">
        <v>140</v>
      </c>
      <c r="B123" s="7" t="s">
        <v>224</v>
      </c>
      <c r="C123" s="7" t="s">
        <v>30</v>
      </c>
      <c r="D123" s="24">
        <v>27.0</v>
      </c>
      <c r="E123" s="25">
        <v>44212.0</v>
      </c>
      <c r="F123" s="26">
        <v>90700.0</v>
      </c>
      <c r="G123" s="7" t="s">
        <v>26</v>
      </c>
      <c r="H123" s="27" t="s">
        <v>31</v>
      </c>
      <c r="I123" s="28">
        <f t="shared" si="1"/>
        <v>5.336986301</v>
      </c>
      <c r="J123" s="29">
        <v>2721.0</v>
      </c>
      <c r="K123" s="30">
        <f t="array" ref="K123">XLOOKUP(Staff[Rating],$O$2:$O$6,$P$2:$P$6)</f>
        <v>4</v>
      </c>
      <c r="L123" s="30">
        <f>YEAR(Staff[Date Joined])</f>
        <v>2021</v>
      </c>
    </row>
    <row r="124" ht="22.5" customHeight="1">
      <c r="A124" s="23" t="s">
        <v>160</v>
      </c>
      <c r="B124" s="7" t="s">
        <v>224</v>
      </c>
      <c r="C124" s="7" t="s">
        <v>30</v>
      </c>
      <c r="D124" s="24">
        <v>32.0</v>
      </c>
      <c r="E124" s="25">
        <v>44774.0</v>
      </c>
      <c r="F124" s="26">
        <v>91310.0</v>
      </c>
      <c r="G124" s="7" t="s">
        <v>29</v>
      </c>
      <c r="H124" s="27" t="s">
        <v>27</v>
      </c>
      <c r="I124" s="28">
        <f t="shared" si="1"/>
        <v>3.797260274</v>
      </c>
      <c r="J124" s="29">
        <v>1827.0</v>
      </c>
      <c r="K124" s="30">
        <f t="array" ref="K124">XLOOKUP(Staff[Rating],$O$2:$O$6,$P$2:$P$6)</f>
        <v>3</v>
      </c>
      <c r="L124" s="30">
        <f>YEAR(Staff[Date Joined])</f>
        <v>2022</v>
      </c>
    </row>
    <row r="125" ht="22.5" customHeight="1">
      <c r="A125" s="23" t="s">
        <v>50</v>
      </c>
      <c r="B125" s="7" t="s">
        <v>224</v>
      </c>
      <c r="C125" s="7" t="s">
        <v>30</v>
      </c>
      <c r="D125" s="24">
        <v>32.0</v>
      </c>
      <c r="E125" s="25">
        <v>44713.0</v>
      </c>
      <c r="F125" s="26">
        <v>91310.0</v>
      </c>
      <c r="G125" s="7" t="s">
        <v>29</v>
      </c>
      <c r="H125" s="27" t="s">
        <v>31</v>
      </c>
      <c r="I125" s="28">
        <f t="shared" si="1"/>
        <v>3.964383562</v>
      </c>
      <c r="J125" s="29">
        <v>1827.0</v>
      </c>
      <c r="K125" s="30">
        <f t="array" ref="K125">XLOOKUP(Staff[Rating],$O$2:$O$6,$P$2:$P$6)</f>
        <v>3</v>
      </c>
      <c r="L125" s="30">
        <f>YEAR(Staff[Date Joined])</f>
        <v>2022</v>
      </c>
    </row>
    <row r="126" ht="22.5" customHeight="1">
      <c r="A126" s="23" t="s">
        <v>192</v>
      </c>
      <c r="B126" s="7" t="s">
        <v>24</v>
      </c>
      <c r="C126" s="7" t="s">
        <v>39</v>
      </c>
      <c r="D126" s="24">
        <v>27.0</v>
      </c>
      <c r="E126" s="25">
        <v>44236.0</v>
      </c>
      <c r="F126" s="26">
        <v>91650.0</v>
      </c>
      <c r="G126" s="7" t="s">
        <v>26</v>
      </c>
      <c r="H126" s="27" t="s">
        <v>27</v>
      </c>
      <c r="I126" s="28">
        <f t="shared" si="1"/>
        <v>5.271232877</v>
      </c>
      <c r="J126" s="29">
        <v>2750.0</v>
      </c>
      <c r="K126" s="30">
        <f t="array" ref="K126">XLOOKUP(Staff[Rating],$O$2:$O$6,$P$2:$P$6)</f>
        <v>4</v>
      </c>
      <c r="L126" s="30">
        <f>YEAR(Staff[Date Joined])</f>
        <v>2021</v>
      </c>
    </row>
    <row r="127" ht="22.5" customHeight="1">
      <c r="A127" s="23" t="s">
        <v>134</v>
      </c>
      <c r="B127" s="7" t="s">
        <v>24</v>
      </c>
      <c r="C127" s="7" t="s">
        <v>39</v>
      </c>
      <c r="D127" s="24">
        <v>27.0</v>
      </c>
      <c r="E127" s="25">
        <v>44174.0</v>
      </c>
      <c r="F127" s="26">
        <v>91650.0</v>
      </c>
      <c r="G127" s="7" t="s">
        <v>26</v>
      </c>
      <c r="H127" s="27" t="s">
        <v>31</v>
      </c>
      <c r="I127" s="28">
        <f t="shared" si="1"/>
        <v>5.44109589</v>
      </c>
      <c r="J127" s="29">
        <v>2750.0</v>
      </c>
      <c r="K127" s="30">
        <f t="array" ref="K127">XLOOKUP(Staff[Rating],$O$2:$O$6,$P$2:$P$6)</f>
        <v>4</v>
      </c>
      <c r="L127" s="30">
        <f>YEAR(Staff[Date Joined])</f>
        <v>2020</v>
      </c>
    </row>
    <row r="128" ht="22.5" customHeight="1">
      <c r="A128" s="23" t="s">
        <v>123</v>
      </c>
      <c r="B128" s="7" t="s">
        <v>35</v>
      </c>
      <c r="C128" s="7" t="s">
        <v>39</v>
      </c>
      <c r="D128" s="24">
        <v>34.0</v>
      </c>
      <c r="E128" s="25">
        <v>44445.0</v>
      </c>
      <c r="F128" s="26">
        <v>92450.0</v>
      </c>
      <c r="G128" s="7" t="s">
        <v>29</v>
      </c>
      <c r="H128" s="27" t="s">
        <v>27</v>
      </c>
      <c r="I128" s="28">
        <f t="shared" si="1"/>
        <v>4.698630137</v>
      </c>
      <c r="J128" s="29">
        <v>2774.0</v>
      </c>
      <c r="K128" s="30">
        <f t="array" ref="K128">XLOOKUP(Staff[Rating],$O$2:$O$6,$P$2:$P$6)</f>
        <v>3</v>
      </c>
      <c r="L128" s="30">
        <f>YEAR(Staff[Date Joined])</f>
        <v>2021</v>
      </c>
    </row>
    <row r="129" ht="22.5" customHeight="1">
      <c r="A129" s="23" t="s">
        <v>149</v>
      </c>
      <c r="B129" s="7" t="s">
        <v>35</v>
      </c>
      <c r="C129" s="7" t="s">
        <v>39</v>
      </c>
      <c r="D129" s="24">
        <v>34.0</v>
      </c>
      <c r="E129" s="25">
        <v>44383.0</v>
      </c>
      <c r="F129" s="26">
        <v>92450.0</v>
      </c>
      <c r="G129" s="7" t="s">
        <v>29</v>
      </c>
      <c r="H129" s="27" t="s">
        <v>31</v>
      </c>
      <c r="I129" s="28">
        <f t="shared" si="1"/>
        <v>4.868493151</v>
      </c>
      <c r="J129" s="29">
        <v>2774.0</v>
      </c>
      <c r="K129" s="30">
        <f t="array" ref="K129">XLOOKUP(Staff[Rating],$O$2:$O$6,$P$2:$P$6)</f>
        <v>3</v>
      </c>
      <c r="L129" s="30">
        <f>YEAR(Staff[Date Joined])</f>
        <v>2021</v>
      </c>
    </row>
    <row r="130" ht="22.5" customHeight="1">
      <c r="A130" s="23" t="s">
        <v>170</v>
      </c>
      <c r="B130" s="7" t="s">
        <v>35</v>
      </c>
      <c r="C130" s="7" t="s">
        <v>25</v>
      </c>
      <c r="D130" s="24">
        <v>25.0</v>
      </c>
      <c r="E130" s="25">
        <v>44205.0</v>
      </c>
      <c r="F130" s="26">
        <v>92700.0</v>
      </c>
      <c r="G130" s="7" t="s">
        <v>29</v>
      </c>
      <c r="H130" s="27" t="s">
        <v>27</v>
      </c>
      <c r="I130" s="28">
        <f t="shared" si="1"/>
        <v>5.356164384</v>
      </c>
      <c r="J130" s="29">
        <v>2781.0</v>
      </c>
      <c r="K130" s="30">
        <f t="array" ref="K130">XLOOKUP(Staff[Rating],$O$2:$O$6,$P$2:$P$6)</f>
        <v>3</v>
      </c>
      <c r="L130" s="30">
        <f>YEAR(Staff[Date Joined])</f>
        <v>2021</v>
      </c>
    </row>
    <row r="131" ht="22.5" customHeight="1">
      <c r="A131" s="23" t="s">
        <v>48</v>
      </c>
      <c r="B131" s="7" t="s">
        <v>35</v>
      </c>
      <c r="C131" s="7" t="s">
        <v>25</v>
      </c>
      <c r="D131" s="24">
        <v>25.0</v>
      </c>
      <c r="E131" s="25">
        <v>44144.0</v>
      </c>
      <c r="F131" s="26">
        <v>92700.0</v>
      </c>
      <c r="G131" s="7" t="s">
        <v>29</v>
      </c>
      <c r="H131" s="27" t="s">
        <v>31</v>
      </c>
      <c r="I131" s="28">
        <f t="shared" si="1"/>
        <v>5.523287671</v>
      </c>
      <c r="J131" s="29">
        <v>2781.0</v>
      </c>
      <c r="K131" s="30">
        <f t="array" ref="K131">XLOOKUP(Staff[Rating],$O$2:$O$6,$P$2:$P$6)</f>
        <v>3</v>
      </c>
      <c r="L131" s="30">
        <f>YEAR(Staff[Date Joined])</f>
        <v>2020</v>
      </c>
    </row>
    <row r="132" ht="22.5" customHeight="1">
      <c r="A132" s="23" t="s">
        <v>109</v>
      </c>
      <c r="B132" s="7" t="s">
        <v>35</v>
      </c>
      <c r="C132" s="7" t="s">
        <v>30</v>
      </c>
      <c r="D132" s="24">
        <v>33.0</v>
      </c>
      <c r="E132" s="25">
        <v>44190.0</v>
      </c>
      <c r="F132" s="26">
        <v>96140.0</v>
      </c>
      <c r="G132" s="7" t="s">
        <v>29</v>
      </c>
      <c r="H132" s="27" t="s">
        <v>27</v>
      </c>
      <c r="I132" s="28">
        <f t="shared" si="1"/>
        <v>5.397260274</v>
      </c>
      <c r="J132" s="29">
        <v>2885.0</v>
      </c>
      <c r="K132" s="30">
        <f t="array" ref="K132">XLOOKUP(Staff[Rating],$O$2:$O$6,$P$2:$P$6)</f>
        <v>3</v>
      </c>
      <c r="L132" s="30">
        <f>YEAR(Staff[Date Joined])</f>
        <v>2020</v>
      </c>
    </row>
    <row r="133" ht="22.5" customHeight="1">
      <c r="A133" s="23" t="s">
        <v>219</v>
      </c>
      <c r="B133" s="7" t="s">
        <v>35</v>
      </c>
      <c r="C133" s="7" t="s">
        <v>30</v>
      </c>
      <c r="D133" s="24">
        <v>33.0</v>
      </c>
      <c r="E133" s="25">
        <v>44129.0</v>
      </c>
      <c r="F133" s="26">
        <v>96140.0</v>
      </c>
      <c r="G133" s="7" t="s">
        <v>29</v>
      </c>
      <c r="H133" s="27" t="s">
        <v>31</v>
      </c>
      <c r="I133" s="28">
        <f t="shared" si="1"/>
        <v>5.564383562</v>
      </c>
      <c r="J133" s="29">
        <v>2885.0</v>
      </c>
      <c r="K133" s="30">
        <f t="array" ref="K133">XLOOKUP(Staff[Rating],$O$2:$O$6,$P$2:$P$6)</f>
        <v>3</v>
      </c>
      <c r="L133" s="30">
        <f>YEAR(Staff[Date Joined])</f>
        <v>2020</v>
      </c>
    </row>
    <row r="134" ht="22.5" customHeight="1">
      <c r="A134" s="23" t="s">
        <v>198</v>
      </c>
      <c r="B134" s="7" t="s">
        <v>24</v>
      </c>
      <c r="C134" s="7" t="s">
        <v>39</v>
      </c>
      <c r="D134" s="24">
        <v>30.0</v>
      </c>
      <c r="E134" s="25">
        <v>44606.0</v>
      </c>
      <c r="F134" s="26">
        <v>96800.0</v>
      </c>
      <c r="G134" s="7" t="s">
        <v>29</v>
      </c>
      <c r="H134" s="27" t="s">
        <v>27</v>
      </c>
      <c r="I134" s="28">
        <f t="shared" si="1"/>
        <v>4.257534247</v>
      </c>
      <c r="J134" s="29">
        <v>2904.0</v>
      </c>
      <c r="K134" s="30">
        <f t="array" ref="K134">XLOOKUP(Staff[Rating],$O$2:$O$6,$P$2:$P$6)</f>
        <v>3</v>
      </c>
      <c r="L134" s="30">
        <f>YEAR(Staff[Date Joined])</f>
        <v>2022</v>
      </c>
    </row>
    <row r="135" ht="22.5" customHeight="1">
      <c r="A135" s="23" t="s">
        <v>58</v>
      </c>
      <c r="B135" s="7" t="s">
        <v>24</v>
      </c>
      <c r="C135" s="7" t="s">
        <v>39</v>
      </c>
      <c r="D135" s="24">
        <v>30.0</v>
      </c>
      <c r="E135" s="25">
        <v>44544.0</v>
      </c>
      <c r="F135" s="26">
        <v>96800.0</v>
      </c>
      <c r="G135" s="7" t="s">
        <v>29</v>
      </c>
      <c r="H135" s="27" t="s">
        <v>31</v>
      </c>
      <c r="I135" s="28">
        <f t="shared" si="1"/>
        <v>4.42739726</v>
      </c>
      <c r="J135" s="29">
        <v>2904.0</v>
      </c>
      <c r="K135" s="30">
        <f t="array" ref="K135">XLOOKUP(Staff[Rating],$O$2:$O$6,$P$2:$P$6)</f>
        <v>3</v>
      </c>
      <c r="L135" s="30">
        <f>YEAR(Staff[Date Joined])</f>
        <v>2021</v>
      </c>
    </row>
    <row r="136" ht="22.5" customHeight="1">
      <c r="A136" s="23" t="s">
        <v>65</v>
      </c>
      <c r="B136" s="7" t="s">
        <v>24</v>
      </c>
      <c r="C136" s="7" t="s">
        <v>33</v>
      </c>
      <c r="D136" s="24">
        <v>40.0</v>
      </c>
      <c r="E136" s="25">
        <v>44263.0</v>
      </c>
      <c r="F136" s="26">
        <v>99750.0</v>
      </c>
      <c r="G136" s="7" t="s">
        <v>29</v>
      </c>
      <c r="H136" s="27" t="s">
        <v>27</v>
      </c>
      <c r="I136" s="28">
        <f t="shared" si="1"/>
        <v>5.197260274</v>
      </c>
      <c r="J136" s="29">
        <v>2993.0</v>
      </c>
      <c r="K136" s="30">
        <f t="array" ref="K136">XLOOKUP(Staff[Rating],$O$2:$O$6,$P$2:$P$6)</f>
        <v>3</v>
      </c>
      <c r="L136" s="30">
        <f>YEAR(Staff[Date Joined])</f>
        <v>2021</v>
      </c>
    </row>
    <row r="137" ht="22.5" customHeight="1">
      <c r="A137" s="23" t="s">
        <v>165</v>
      </c>
      <c r="B137" s="7" t="s">
        <v>24</v>
      </c>
      <c r="C137" s="7" t="s">
        <v>33</v>
      </c>
      <c r="D137" s="24">
        <v>40.0</v>
      </c>
      <c r="E137" s="25">
        <v>44204.0</v>
      </c>
      <c r="F137" s="26">
        <v>99750.0</v>
      </c>
      <c r="G137" s="7" t="s">
        <v>29</v>
      </c>
      <c r="H137" s="27" t="s">
        <v>31</v>
      </c>
      <c r="I137" s="28">
        <f t="shared" si="1"/>
        <v>5.35890411</v>
      </c>
      <c r="J137" s="29">
        <v>2993.0</v>
      </c>
      <c r="K137" s="30">
        <f t="array" ref="K137">XLOOKUP(Staff[Rating],$O$2:$O$6,$P$2:$P$6)</f>
        <v>3</v>
      </c>
      <c r="L137" s="30">
        <f>YEAR(Staff[Date Joined])</f>
        <v>2021</v>
      </c>
    </row>
    <row r="138" ht="22.5" customHeight="1">
      <c r="A138" s="23" t="s">
        <v>107</v>
      </c>
      <c r="B138" s="7" t="s">
        <v>35</v>
      </c>
      <c r="C138" s="7" t="s">
        <v>33</v>
      </c>
      <c r="D138" s="24">
        <v>28.0</v>
      </c>
      <c r="E138" s="25">
        <v>44630.0</v>
      </c>
      <c r="F138" s="26">
        <v>99970.0</v>
      </c>
      <c r="G138" s="7" t="s">
        <v>29</v>
      </c>
      <c r="H138" s="27" t="s">
        <v>27</v>
      </c>
      <c r="I138" s="28">
        <f t="shared" si="1"/>
        <v>4.191780822</v>
      </c>
      <c r="J138" s="29">
        <v>3000.0</v>
      </c>
      <c r="K138" s="30">
        <f t="array" ref="K138">XLOOKUP(Staff[Rating],$O$2:$O$6,$P$2:$P$6)</f>
        <v>3</v>
      </c>
      <c r="L138" s="30">
        <f>YEAR(Staff[Date Joined])</f>
        <v>2022</v>
      </c>
    </row>
    <row r="139" ht="22.5" customHeight="1">
      <c r="A139" s="23" t="s">
        <v>102</v>
      </c>
      <c r="B139" s="7" t="s">
        <v>35</v>
      </c>
      <c r="C139" s="7" t="s">
        <v>33</v>
      </c>
      <c r="D139" s="24">
        <v>28.0</v>
      </c>
      <c r="E139" s="25">
        <v>44571.0</v>
      </c>
      <c r="F139" s="26">
        <v>99970.0</v>
      </c>
      <c r="G139" s="7" t="s">
        <v>29</v>
      </c>
      <c r="H139" s="27" t="s">
        <v>31</v>
      </c>
      <c r="I139" s="28">
        <f t="shared" si="1"/>
        <v>4.353424658</v>
      </c>
      <c r="J139" s="29">
        <v>3000.0</v>
      </c>
      <c r="K139" s="30">
        <f t="array" ref="K139">XLOOKUP(Staff[Rating],$O$2:$O$6,$P$2:$P$6)</f>
        <v>3</v>
      </c>
      <c r="L139" s="30">
        <f>YEAR(Staff[Date Joined])</f>
        <v>2022</v>
      </c>
    </row>
    <row r="140" ht="22.5" customHeight="1">
      <c r="A140" s="23" t="s">
        <v>182</v>
      </c>
      <c r="B140" s="7" t="s">
        <v>24</v>
      </c>
      <c r="C140" s="7" t="s">
        <v>30</v>
      </c>
      <c r="D140" s="24">
        <v>24.0</v>
      </c>
      <c r="E140" s="25">
        <v>44686.0</v>
      </c>
      <c r="F140" s="26">
        <v>100420.0</v>
      </c>
      <c r="G140" s="7" t="s">
        <v>29</v>
      </c>
      <c r="H140" s="27" t="s">
        <v>27</v>
      </c>
      <c r="I140" s="28">
        <f t="shared" si="1"/>
        <v>4.038356164</v>
      </c>
      <c r="J140" s="29">
        <v>3013.0</v>
      </c>
      <c r="K140" s="30">
        <f t="array" ref="K140">XLOOKUP(Staff[Rating],$O$2:$O$6,$P$2:$P$6)</f>
        <v>3</v>
      </c>
      <c r="L140" s="30">
        <f>YEAR(Staff[Date Joined])</f>
        <v>2022</v>
      </c>
    </row>
    <row r="141" ht="22.5" customHeight="1">
      <c r="A141" s="23" t="s">
        <v>87</v>
      </c>
      <c r="B141" s="7" t="s">
        <v>24</v>
      </c>
      <c r="C141" s="7" t="s">
        <v>30</v>
      </c>
      <c r="D141" s="24">
        <v>24.0</v>
      </c>
      <c r="E141" s="25">
        <v>44625.0</v>
      </c>
      <c r="F141" s="26">
        <v>100420.0</v>
      </c>
      <c r="G141" s="7" t="s">
        <v>29</v>
      </c>
      <c r="H141" s="27" t="s">
        <v>31</v>
      </c>
      <c r="I141" s="28">
        <f t="shared" si="1"/>
        <v>4.205479452</v>
      </c>
      <c r="J141" s="29">
        <v>3013.0</v>
      </c>
      <c r="K141" s="30">
        <f t="array" ref="K141">XLOOKUP(Staff[Rating],$O$2:$O$6,$P$2:$P$6)</f>
        <v>3</v>
      </c>
      <c r="L141" s="30">
        <f>YEAR(Staff[Date Joined])</f>
        <v>2022</v>
      </c>
    </row>
    <row r="142" ht="22.5" customHeight="1">
      <c r="A142" s="23" t="s">
        <v>111</v>
      </c>
      <c r="B142" s="7" t="s">
        <v>24</v>
      </c>
      <c r="C142" s="7" t="s">
        <v>33</v>
      </c>
      <c r="D142" s="24">
        <v>31.0</v>
      </c>
      <c r="E142" s="25">
        <v>44724.0</v>
      </c>
      <c r="F142" s="26">
        <v>103550.0</v>
      </c>
      <c r="G142" s="7" t="s">
        <v>29</v>
      </c>
      <c r="H142" s="27" t="s">
        <v>27</v>
      </c>
      <c r="I142" s="28">
        <f t="shared" si="1"/>
        <v>3.934246575</v>
      </c>
      <c r="J142" s="29">
        <v>2071.0</v>
      </c>
      <c r="K142" s="30">
        <f t="array" ref="K142">XLOOKUP(Staff[Rating],$O$2:$O$6,$P$2:$P$6)</f>
        <v>3</v>
      </c>
      <c r="L142" s="30">
        <f>YEAR(Staff[Date Joined])</f>
        <v>2022</v>
      </c>
    </row>
    <row r="143" ht="22.5" customHeight="1">
      <c r="A143" s="23" t="s">
        <v>37</v>
      </c>
      <c r="B143" s="7" t="s">
        <v>24</v>
      </c>
      <c r="C143" s="7" t="s">
        <v>33</v>
      </c>
      <c r="D143" s="24">
        <v>31.0</v>
      </c>
      <c r="E143" s="25">
        <v>44663.0</v>
      </c>
      <c r="F143" s="26">
        <v>103550.0</v>
      </c>
      <c r="G143" s="7" t="s">
        <v>29</v>
      </c>
      <c r="H143" s="27" t="s">
        <v>31</v>
      </c>
      <c r="I143" s="28">
        <f t="shared" si="1"/>
        <v>4.101369863</v>
      </c>
      <c r="J143" s="29">
        <v>3107.0</v>
      </c>
      <c r="K143" s="30">
        <f t="array" ref="K143">XLOOKUP(Staff[Rating],$O$2:$O$6,$P$2:$P$6)</f>
        <v>3</v>
      </c>
      <c r="L143" s="30">
        <f>YEAR(Staff[Date Joined])</f>
        <v>2022</v>
      </c>
    </row>
    <row r="144" ht="22.5" customHeight="1">
      <c r="A144" s="23" t="s">
        <v>178</v>
      </c>
      <c r="B144" s="7" t="s">
        <v>35</v>
      </c>
      <c r="C144" s="7" t="s">
        <v>33</v>
      </c>
      <c r="D144" s="24">
        <v>28.0</v>
      </c>
      <c r="E144" s="25">
        <v>44649.0</v>
      </c>
      <c r="F144" s="26">
        <v>104120.0</v>
      </c>
      <c r="G144" s="7" t="s">
        <v>29</v>
      </c>
      <c r="H144" s="27" t="s">
        <v>27</v>
      </c>
      <c r="I144" s="28">
        <f t="shared" si="1"/>
        <v>4.139726027</v>
      </c>
      <c r="J144" s="29">
        <v>3124.0</v>
      </c>
      <c r="K144" s="30">
        <f t="array" ref="K144">XLOOKUP(Staff[Rating],$O$2:$O$6,$P$2:$P$6)</f>
        <v>3</v>
      </c>
      <c r="L144" s="30">
        <f>YEAR(Staff[Date Joined])</f>
        <v>2022</v>
      </c>
    </row>
    <row r="145" ht="22.5" customHeight="1">
      <c r="A145" s="23" t="s">
        <v>193</v>
      </c>
      <c r="B145" s="7" t="s">
        <v>35</v>
      </c>
      <c r="C145" s="7" t="s">
        <v>33</v>
      </c>
      <c r="D145" s="24">
        <v>28.0</v>
      </c>
      <c r="E145" s="25">
        <v>44590.0</v>
      </c>
      <c r="F145" s="26">
        <v>104120.0</v>
      </c>
      <c r="G145" s="7" t="s">
        <v>29</v>
      </c>
      <c r="H145" s="27" t="s">
        <v>31</v>
      </c>
      <c r="I145" s="28">
        <f t="shared" si="1"/>
        <v>4.301369863</v>
      </c>
      <c r="J145" s="29">
        <v>3124.0</v>
      </c>
      <c r="K145" s="30">
        <f t="array" ref="K145">XLOOKUP(Staff[Rating],$O$2:$O$6,$P$2:$P$6)</f>
        <v>3</v>
      </c>
      <c r="L145" s="30">
        <f>YEAR(Staff[Date Joined])</f>
        <v>2022</v>
      </c>
    </row>
    <row r="146" ht="22.5" customHeight="1">
      <c r="A146" s="23" t="s">
        <v>196</v>
      </c>
      <c r="B146" s="7" t="s">
        <v>35</v>
      </c>
      <c r="C146" s="7" t="s">
        <v>30</v>
      </c>
      <c r="D146" s="24">
        <v>40.0</v>
      </c>
      <c r="E146" s="25">
        <v>44381.0</v>
      </c>
      <c r="F146" s="26">
        <v>104410.0</v>
      </c>
      <c r="G146" s="7" t="s">
        <v>29</v>
      </c>
      <c r="H146" s="27" t="s">
        <v>27</v>
      </c>
      <c r="I146" s="28">
        <f t="shared" si="1"/>
        <v>4.873972603</v>
      </c>
      <c r="J146" s="29">
        <v>3133.0</v>
      </c>
      <c r="K146" s="30">
        <f t="array" ref="K146">XLOOKUP(Staff[Rating],$O$2:$O$6,$P$2:$P$6)</f>
        <v>3</v>
      </c>
      <c r="L146" s="30">
        <f>YEAR(Staff[Date Joined])</f>
        <v>2021</v>
      </c>
    </row>
    <row r="147" ht="22.5" customHeight="1">
      <c r="A147" s="23" t="s">
        <v>56</v>
      </c>
      <c r="B147" s="7" t="s">
        <v>35</v>
      </c>
      <c r="C147" s="7" t="s">
        <v>30</v>
      </c>
      <c r="D147" s="24">
        <v>40.0</v>
      </c>
      <c r="E147" s="25">
        <v>44320.0</v>
      </c>
      <c r="F147" s="26">
        <v>104410.0</v>
      </c>
      <c r="G147" s="7" t="s">
        <v>29</v>
      </c>
      <c r="H147" s="27" t="s">
        <v>31</v>
      </c>
      <c r="I147" s="28">
        <f t="shared" si="1"/>
        <v>5.04109589</v>
      </c>
      <c r="J147" s="29">
        <v>3133.0</v>
      </c>
      <c r="K147" s="30">
        <f t="array" ref="K147">XLOOKUP(Staff[Rating],$O$2:$O$6,$P$2:$P$6)</f>
        <v>3</v>
      </c>
      <c r="L147" s="30">
        <f>YEAR(Staff[Date Joined])</f>
        <v>2021</v>
      </c>
    </row>
    <row r="148" ht="22.5" customHeight="1">
      <c r="A148" s="23" t="s">
        <v>162</v>
      </c>
      <c r="B148" s="7" t="s">
        <v>35</v>
      </c>
      <c r="C148" s="7" t="s">
        <v>33</v>
      </c>
      <c r="D148" s="24">
        <v>28.0</v>
      </c>
      <c r="E148" s="25">
        <v>44486.0</v>
      </c>
      <c r="F148" s="26">
        <v>104770.0</v>
      </c>
      <c r="G148" s="7" t="s">
        <v>29</v>
      </c>
      <c r="H148" s="27" t="s">
        <v>27</v>
      </c>
      <c r="I148" s="28">
        <f t="shared" si="1"/>
        <v>4.58630137</v>
      </c>
      <c r="J148" s="29">
        <v>3144.0</v>
      </c>
      <c r="K148" s="30">
        <f t="array" ref="K148">XLOOKUP(Staff[Rating],$O$2:$O$6,$P$2:$P$6)</f>
        <v>3</v>
      </c>
      <c r="L148" s="30">
        <f>YEAR(Staff[Date Joined])</f>
        <v>2021</v>
      </c>
    </row>
    <row r="149" ht="22.5" customHeight="1">
      <c r="A149" s="23" t="s">
        <v>130</v>
      </c>
      <c r="B149" s="7" t="s">
        <v>35</v>
      </c>
      <c r="C149" s="7" t="s">
        <v>33</v>
      </c>
      <c r="D149" s="24">
        <v>28.0</v>
      </c>
      <c r="E149" s="25">
        <v>44425.0</v>
      </c>
      <c r="F149" s="26">
        <v>104770.0</v>
      </c>
      <c r="G149" s="7" t="s">
        <v>29</v>
      </c>
      <c r="H149" s="27" t="s">
        <v>31</v>
      </c>
      <c r="I149" s="28">
        <f t="shared" si="1"/>
        <v>4.753424658</v>
      </c>
      <c r="J149" s="29">
        <v>3144.0</v>
      </c>
      <c r="K149" s="30">
        <f t="array" ref="K149">XLOOKUP(Staff[Rating],$O$2:$O$6,$P$2:$P$6)</f>
        <v>3</v>
      </c>
      <c r="L149" s="30">
        <f>YEAR(Staff[Date Joined])</f>
        <v>2021</v>
      </c>
    </row>
    <row r="150" ht="22.5" customHeight="1">
      <c r="A150" s="23" t="s">
        <v>188</v>
      </c>
      <c r="B150" s="7" t="s">
        <v>24</v>
      </c>
      <c r="C150" s="7" t="s">
        <v>33</v>
      </c>
      <c r="D150" s="24">
        <v>23.0</v>
      </c>
      <c r="E150" s="25">
        <v>44440.0</v>
      </c>
      <c r="F150" s="26">
        <v>106460.0</v>
      </c>
      <c r="G150" s="7" t="s">
        <v>29</v>
      </c>
      <c r="H150" s="27" t="s">
        <v>27</v>
      </c>
      <c r="I150" s="28">
        <f t="shared" si="1"/>
        <v>4.712328767</v>
      </c>
      <c r="J150" s="29">
        <v>3194.0</v>
      </c>
      <c r="K150" s="30">
        <f t="array" ref="K150">XLOOKUP(Staff[Rating],$O$2:$O$6,$P$2:$P$6)</f>
        <v>3</v>
      </c>
      <c r="L150" s="30">
        <f>YEAR(Staff[Date Joined])</f>
        <v>2021</v>
      </c>
    </row>
    <row r="151" ht="22.5" customHeight="1">
      <c r="A151" s="23" t="s">
        <v>185</v>
      </c>
      <c r="B151" s="7" t="s">
        <v>24</v>
      </c>
      <c r="C151" s="7" t="s">
        <v>33</v>
      </c>
      <c r="D151" s="24">
        <v>23.0</v>
      </c>
      <c r="E151" s="25">
        <v>44378.0</v>
      </c>
      <c r="F151" s="26">
        <v>106460.0</v>
      </c>
      <c r="G151" s="7" t="s">
        <v>29</v>
      </c>
      <c r="H151" s="27" t="s">
        <v>31</v>
      </c>
      <c r="I151" s="28">
        <f t="shared" si="1"/>
        <v>4.882191781</v>
      </c>
      <c r="J151" s="29">
        <v>3194.0</v>
      </c>
      <c r="K151" s="30">
        <f t="array" ref="K151">XLOOKUP(Staff[Rating],$O$2:$O$6,$P$2:$P$6)</f>
        <v>3</v>
      </c>
      <c r="L151" s="30">
        <f>YEAR(Staff[Date Joined])</f>
        <v>2021</v>
      </c>
    </row>
    <row r="152" ht="22.5" customHeight="1">
      <c r="A152" s="23" t="s">
        <v>61</v>
      </c>
      <c r="B152" s="7" t="s">
        <v>24</v>
      </c>
      <c r="C152" s="7" t="s">
        <v>30</v>
      </c>
      <c r="D152" s="24">
        <v>20.0</v>
      </c>
      <c r="E152" s="25">
        <v>44459.0</v>
      </c>
      <c r="F152" s="26">
        <v>107700.0</v>
      </c>
      <c r="G152" s="7" t="s">
        <v>29</v>
      </c>
      <c r="H152" s="27" t="s">
        <v>27</v>
      </c>
      <c r="I152" s="28">
        <f t="shared" si="1"/>
        <v>4.660273973</v>
      </c>
      <c r="J152" s="29">
        <v>3231.0</v>
      </c>
      <c r="K152" s="30">
        <f t="array" ref="K152">XLOOKUP(Staff[Rating],$O$2:$O$6,$P$2:$P$6)</f>
        <v>3</v>
      </c>
      <c r="L152" s="30">
        <f>YEAR(Staff[Date Joined])</f>
        <v>2021</v>
      </c>
    </row>
    <row r="153" ht="22.5" customHeight="1">
      <c r="A153" s="23" t="s">
        <v>201</v>
      </c>
      <c r="B153" s="7" t="s">
        <v>24</v>
      </c>
      <c r="C153" s="7" t="s">
        <v>30</v>
      </c>
      <c r="D153" s="24">
        <v>20.0</v>
      </c>
      <c r="E153" s="25">
        <v>44397.0</v>
      </c>
      <c r="F153" s="26">
        <v>107700.0</v>
      </c>
      <c r="G153" s="7" t="s">
        <v>29</v>
      </c>
      <c r="H153" s="27" t="s">
        <v>31</v>
      </c>
      <c r="I153" s="28">
        <f t="shared" si="1"/>
        <v>4.830136986</v>
      </c>
      <c r="J153" s="29">
        <v>3231.0</v>
      </c>
      <c r="K153" s="30">
        <f t="array" ref="K153">XLOOKUP(Staff[Rating],$O$2:$O$6,$P$2:$P$6)</f>
        <v>3</v>
      </c>
      <c r="L153" s="30">
        <f>YEAR(Staff[Date Joined])</f>
        <v>2021</v>
      </c>
    </row>
    <row r="154" ht="22.5" customHeight="1">
      <c r="A154" s="23" t="s">
        <v>148</v>
      </c>
      <c r="B154" s="7" t="s">
        <v>35</v>
      </c>
      <c r="C154" s="7" t="s">
        <v>25</v>
      </c>
      <c r="D154" s="24">
        <v>38.0</v>
      </c>
      <c r="E154" s="25">
        <v>44377.0</v>
      </c>
      <c r="F154" s="26">
        <v>109160.0</v>
      </c>
      <c r="G154" s="7" t="s">
        <v>83</v>
      </c>
      <c r="H154" s="27" t="s">
        <v>27</v>
      </c>
      <c r="I154" s="28">
        <f t="shared" si="1"/>
        <v>4.884931507</v>
      </c>
      <c r="J154" s="29">
        <v>3275.0</v>
      </c>
      <c r="K154" s="30">
        <f t="array" ref="K154">XLOOKUP(Staff[Rating],$O$2:$O$6,$P$2:$P$6)</f>
        <v>5</v>
      </c>
      <c r="L154" s="30">
        <f>YEAR(Staff[Date Joined])</f>
        <v>2021</v>
      </c>
    </row>
    <row r="155" ht="22.5" customHeight="1">
      <c r="A155" s="23" t="s">
        <v>163</v>
      </c>
      <c r="B155" s="7" t="s">
        <v>35</v>
      </c>
      <c r="C155" s="7" t="s">
        <v>25</v>
      </c>
      <c r="D155" s="24">
        <v>38.0</v>
      </c>
      <c r="E155" s="25">
        <v>44316.0</v>
      </c>
      <c r="F155" s="26">
        <v>109160.0</v>
      </c>
      <c r="G155" s="7" t="s">
        <v>83</v>
      </c>
      <c r="H155" s="27" t="s">
        <v>31</v>
      </c>
      <c r="I155" s="28">
        <f t="shared" si="1"/>
        <v>5.052054795</v>
      </c>
      <c r="J155" s="29">
        <v>3275.0</v>
      </c>
      <c r="K155" s="30">
        <f t="array" ref="K155">XLOOKUP(Staff[Rating],$O$2:$O$6,$P$2:$P$6)</f>
        <v>5</v>
      </c>
      <c r="L155" s="30">
        <f>YEAR(Staff[Date Joined])</f>
        <v>2021</v>
      </c>
    </row>
    <row r="156" ht="22.5" customHeight="1">
      <c r="A156" s="23" t="s">
        <v>103</v>
      </c>
      <c r="B156" s="7" t="s">
        <v>24</v>
      </c>
      <c r="C156" s="7" t="s">
        <v>33</v>
      </c>
      <c r="D156" s="24">
        <v>25.0</v>
      </c>
      <c r="E156" s="25">
        <v>44726.0</v>
      </c>
      <c r="F156" s="26">
        <v>109190.0</v>
      </c>
      <c r="G156" s="7" t="s">
        <v>26</v>
      </c>
      <c r="H156" s="27" t="s">
        <v>27</v>
      </c>
      <c r="I156" s="28">
        <f t="shared" si="1"/>
        <v>3.928767123</v>
      </c>
      <c r="J156" s="29">
        <v>2184.0</v>
      </c>
      <c r="K156" s="30">
        <f t="array" ref="K156">XLOOKUP(Staff[Rating],$O$2:$O$6,$P$2:$P$6)</f>
        <v>4</v>
      </c>
      <c r="L156" s="30">
        <f>YEAR(Staff[Date Joined])</f>
        <v>2022</v>
      </c>
    </row>
    <row r="157" ht="22.5" customHeight="1">
      <c r="A157" s="23" t="s">
        <v>54</v>
      </c>
      <c r="B157" s="7" t="s">
        <v>24</v>
      </c>
      <c r="C157" s="7" t="s">
        <v>33</v>
      </c>
      <c r="D157" s="24">
        <v>25.0</v>
      </c>
      <c r="E157" s="25">
        <v>44665.0</v>
      </c>
      <c r="F157" s="26">
        <v>109190.0</v>
      </c>
      <c r="G157" s="7" t="s">
        <v>26</v>
      </c>
      <c r="H157" s="27" t="s">
        <v>31</v>
      </c>
      <c r="I157" s="28">
        <f t="shared" si="1"/>
        <v>4.095890411</v>
      </c>
      <c r="J157" s="29">
        <v>3276.0</v>
      </c>
      <c r="K157" s="30">
        <f t="array" ref="K157">XLOOKUP(Staff[Rating],$O$2:$O$6,$P$2:$P$6)</f>
        <v>4</v>
      </c>
      <c r="L157" s="30">
        <f>YEAR(Staff[Date Joined])</f>
        <v>2022</v>
      </c>
    </row>
    <row r="158" ht="22.5" customHeight="1">
      <c r="A158" s="23" t="s">
        <v>55</v>
      </c>
      <c r="B158" s="7" t="s">
        <v>24</v>
      </c>
      <c r="C158" s="7" t="s">
        <v>30</v>
      </c>
      <c r="D158" s="24">
        <v>29.0</v>
      </c>
      <c r="E158" s="25">
        <v>44180.0</v>
      </c>
      <c r="F158" s="26">
        <v>112110.0</v>
      </c>
      <c r="G158" s="7" t="s">
        <v>40</v>
      </c>
      <c r="H158" s="27" t="s">
        <v>27</v>
      </c>
      <c r="I158" s="28">
        <f t="shared" si="1"/>
        <v>5.424657534</v>
      </c>
      <c r="J158" s="29">
        <v>3364.0</v>
      </c>
      <c r="K158" s="30">
        <f t="array" ref="K158">XLOOKUP(Staff[Rating],$O$2:$O$6,$P$2:$P$6)</f>
        <v>2</v>
      </c>
      <c r="L158" s="30">
        <f>YEAR(Staff[Date Joined])</f>
        <v>2020</v>
      </c>
    </row>
    <row r="159" ht="22.5" customHeight="1">
      <c r="A159" s="23" t="s">
        <v>108</v>
      </c>
      <c r="B159" s="7" t="s">
        <v>24</v>
      </c>
      <c r="C159" s="7" t="s">
        <v>30</v>
      </c>
      <c r="D159" s="24">
        <v>29.0</v>
      </c>
      <c r="E159" s="25">
        <v>44119.0</v>
      </c>
      <c r="F159" s="26">
        <v>112110.0</v>
      </c>
      <c r="G159" s="7" t="s">
        <v>40</v>
      </c>
      <c r="H159" s="27" t="s">
        <v>31</v>
      </c>
      <c r="I159" s="28">
        <f t="shared" si="1"/>
        <v>5.591780822</v>
      </c>
      <c r="J159" s="29">
        <v>3364.0</v>
      </c>
      <c r="K159" s="30">
        <f t="array" ref="K159">XLOOKUP(Staff[Rating],$O$2:$O$6,$P$2:$P$6)</f>
        <v>2</v>
      </c>
      <c r="L159" s="30">
        <f>YEAR(Staff[Date Joined])</f>
        <v>2020</v>
      </c>
    </row>
    <row r="160" ht="22.5" customHeight="1">
      <c r="A160" s="23" t="s">
        <v>45</v>
      </c>
      <c r="B160" s="7" t="s">
        <v>35</v>
      </c>
      <c r="C160" s="7" t="s">
        <v>33</v>
      </c>
      <c r="D160" s="24">
        <v>30.0</v>
      </c>
      <c r="E160" s="25">
        <v>44861.0</v>
      </c>
      <c r="F160" s="26">
        <v>112570.0</v>
      </c>
      <c r="G160" s="7" t="s">
        <v>29</v>
      </c>
      <c r="H160" s="27" t="s">
        <v>27</v>
      </c>
      <c r="I160" s="28">
        <f t="shared" si="1"/>
        <v>3.55890411</v>
      </c>
      <c r="J160" s="29">
        <v>2252.0</v>
      </c>
      <c r="K160" s="30">
        <f t="array" ref="K160">XLOOKUP(Staff[Rating],$O$2:$O$6,$P$2:$P$6)</f>
        <v>3</v>
      </c>
      <c r="L160" s="30">
        <f>YEAR(Staff[Date Joined])</f>
        <v>2022</v>
      </c>
    </row>
    <row r="161" ht="22.5" customHeight="1">
      <c r="A161" s="23" t="s">
        <v>95</v>
      </c>
      <c r="B161" s="7" t="s">
        <v>35</v>
      </c>
      <c r="C161" s="7" t="s">
        <v>33</v>
      </c>
      <c r="D161" s="24">
        <v>30.0</v>
      </c>
      <c r="E161" s="25">
        <v>44800.0</v>
      </c>
      <c r="F161" s="26">
        <v>112570.0</v>
      </c>
      <c r="G161" s="7" t="s">
        <v>29</v>
      </c>
      <c r="H161" s="27" t="s">
        <v>31</v>
      </c>
      <c r="I161" s="28">
        <f t="shared" si="1"/>
        <v>3.726027397</v>
      </c>
      <c r="J161" s="29">
        <v>2252.0</v>
      </c>
      <c r="K161" s="30">
        <f t="array" ref="K161">XLOOKUP(Staff[Rating],$O$2:$O$6,$P$2:$P$6)</f>
        <v>3</v>
      </c>
      <c r="L161" s="30">
        <f>YEAR(Staff[Date Joined])</f>
        <v>2022</v>
      </c>
    </row>
    <row r="162" ht="22.5" customHeight="1">
      <c r="A162" s="23" t="s">
        <v>125</v>
      </c>
      <c r="B162" s="7" t="s">
        <v>24</v>
      </c>
      <c r="C162" s="7" t="s">
        <v>30</v>
      </c>
      <c r="D162" s="24">
        <v>20.0</v>
      </c>
      <c r="E162" s="25">
        <v>44183.0</v>
      </c>
      <c r="F162" s="26">
        <v>112650.0</v>
      </c>
      <c r="G162" s="7" t="s">
        <v>29</v>
      </c>
      <c r="H162" s="27" t="s">
        <v>27</v>
      </c>
      <c r="I162" s="28">
        <f t="shared" si="1"/>
        <v>5.416438356</v>
      </c>
      <c r="J162" s="29">
        <v>3380.0</v>
      </c>
      <c r="K162" s="30">
        <f t="array" ref="K162">XLOOKUP(Staff[Rating],$O$2:$O$6,$P$2:$P$6)</f>
        <v>3</v>
      </c>
      <c r="L162" s="30">
        <f>YEAR(Staff[Date Joined])</f>
        <v>2020</v>
      </c>
    </row>
    <row r="163" ht="22.5" customHeight="1">
      <c r="A163" s="23" t="s">
        <v>125</v>
      </c>
      <c r="B163" s="7" t="s">
        <v>24</v>
      </c>
      <c r="C163" s="7" t="s">
        <v>33</v>
      </c>
      <c r="D163" s="24">
        <v>34.0</v>
      </c>
      <c r="E163" s="25">
        <v>44703.0</v>
      </c>
      <c r="F163" s="26">
        <v>112650.0</v>
      </c>
      <c r="G163" s="7" t="s">
        <v>29</v>
      </c>
      <c r="H163" s="27" t="s">
        <v>27</v>
      </c>
      <c r="I163" s="28">
        <f t="shared" si="1"/>
        <v>3.991780822</v>
      </c>
      <c r="J163" s="29">
        <v>2253.0</v>
      </c>
      <c r="K163" s="30">
        <f t="array" ref="K163">XLOOKUP(Staff[Rating],$O$2:$O$6,$P$2:$P$6)</f>
        <v>3</v>
      </c>
      <c r="L163" s="30">
        <f>YEAR(Staff[Date Joined])</f>
        <v>2022</v>
      </c>
    </row>
    <row r="164" ht="22.5" customHeight="1">
      <c r="A164" s="23" t="s">
        <v>28</v>
      </c>
      <c r="B164" s="7" t="s">
        <v>24</v>
      </c>
      <c r="C164" s="7" t="s">
        <v>30</v>
      </c>
      <c r="D164" s="24">
        <v>20.0</v>
      </c>
      <c r="E164" s="25">
        <v>44122.0</v>
      </c>
      <c r="F164" s="26">
        <v>112650.0</v>
      </c>
      <c r="G164" s="7" t="s">
        <v>29</v>
      </c>
      <c r="H164" s="27" t="s">
        <v>31</v>
      </c>
      <c r="I164" s="28">
        <f t="shared" si="1"/>
        <v>5.583561644</v>
      </c>
      <c r="J164" s="33">
        <v>3380.0</v>
      </c>
      <c r="K164" s="30">
        <f t="array" ref="K164">XLOOKUP(Staff[Rating],$O$2:$O$6,$P$2:$P$6)</f>
        <v>3</v>
      </c>
      <c r="L164" s="30">
        <f>YEAR(Staff[Date Joined])</f>
        <v>2020</v>
      </c>
    </row>
    <row r="165" ht="22.5" customHeight="1">
      <c r="A165" s="23" t="s">
        <v>64</v>
      </c>
      <c r="B165" s="7" t="s">
        <v>24</v>
      </c>
      <c r="C165" s="7" t="s">
        <v>33</v>
      </c>
      <c r="D165" s="24">
        <v>34.0</v>
      </c>
      <c r="E165" s="25">
        <v>44642.0</v>
      </c>
      <c r="F165" s="26">
        <v>112650.0</v>
      </c>
      <c r="G165" s="7" t="s">
        <v>29</v>
      </c>
      <c r="H165" s="27" t="s">
        <v>31</v>
      </c>
      <c r="I165" s="28">
        <f t="shared" si="1"/>
        <v>4.15890411</v>
      </c>
      <c r="J165" s="29">
        <v>3380.0</v>
      </c>
      <c r="K165" s="30">
        <f t="array" ref="K165">XLOOKUP(Staff[Rating],$O$2:$O$6,$P$2:$P$6)</f>
        <v>3</v>
      </c>
      <c r="L165" s="30">
        <f>YEAR(Staff[Date Joined])</f>
        <v>2022</v>
      </c>
    </row>
    <row r="166" ht="22.5" customHeight="1">
      <c r="A166" s="23" t="s">
        <v>23</v>
      </c>
      <c r="B166" s="7" t="s">
        <v>24</v>
      </c>
      <c r="C166" s="7" t="s">
        <v>25</v>
      </c>
      <c r="D166" s="24">
        <v>22.0</v>
      </c>
      <c r="E166" s="25">
        <v>44446.0</v>
      </c>
      <c r="F166" s="26">
        <v>112780.0</v>
      </c>
      <c r="G166" s="7" t="s">
        <v>26</v>
      </c>
      <c r="H166" s="27" t="s">
        <v>27</v>
      </c>
      <c r="I166" s="28">
        <f t="shared" si="1"/>
        <v>4.695890411</v>
      </c>
      <c r="J166" s="30">
        <v>3384.0</v>
      </c>
      <c r="K166" s="30">
        <f t="array" ref="K166">XLOOKUP(Staff[Rating],$O$2:$O$6,$P$2:$P$6)</f>
        <v>4</v>
      </c>
      <c r="L166" s="30">
        <f>YEAR(Staff[Date Joined])</f>
        <v>2021</v>
      </c>
    </row>
    <row r="167" ht="22.5" customHeight="1">
      <c r="A167" s="23" t="s">
        <v>112</v>
      </c>
      <c r="B167" s="7" t="s">
        <v>24</v>
      </c>
      <c r="C167" s="7" t="s">
        <v>25</v>
      </c>
      <c r="D167" s="24">
        <v>22.0</v>
      </c>
      <c r="E167" s="25">
        <v>44384.0</v>
      </c>
      <c r="F167" s="26">
        <v>112780.0</v>
      </c>
      <c r="G167" s="7" t="s">
        <v>26</v>
      </c>
      <c r="H167" s="27" t="s">
        <v>31</v>
      </c>
      <c r="I167" s="28">
        <f t="shared" si="1"/>
        <v>4.865753425</v>
      </c>
      <c r="J167" s="29">
        <v>3384.0</v>
      </c>
      <c r="K167" s="30">
        <f t="array" ref="K167">XLOOKUP(Staff[Rating],$O$2:$O$6,$P$2:$P$6)</f>
        <v>4</v>
      </c>
      <c r="L167" s="30">
        <f>YEAR(Staff[Date Joined])</f>
        <v>2021</v>
      </c>
    </row>
    <row r="168" ht="22.5" customHeight="1">
      <c r="A168" s="23" t="s">
        <v>150</v>
      </c>
      <c r="B168" s="7" t="s">
        <v>24</v>
      </c>
      <c r="C168" s="7" t="s">
        <v>33</v>
      </c>
      <c r="D168" s="24">
        <v>27.0</v>
      </c>
      <c r="E168" s="25">
        <v>44609.0</v>
      </c>
      <c r="F168" s="26">
        <v>113280.0</v>
      </c>
      <c r="G168" s="7" t="s">
        <v>97</v>
      </c>
      <c r="H168" s="27" t="s">
        <v>27</v>
      </c>
      <c r="I168" s="28">
        <f t="shared" si="1"/>
        <v>4.249315068</v>
      </c>
      <c r="J168" s="29">
        <v>3399.0</v>
      </c>
      <c r="K168" s="30">
        <f t="array" ref="K168">XLOOKUP(Staff[Rating],$O$2:$O$6,$P$2:$P$6)</f>
        <v>1</v>
      </c>
      <c r="L168" s="30">
        <f>YEAR(Staff[Date Joined])</f>
        <v>2022</v>
      </c>
    </row>
    <row r="169" ht="22.5" customHeight="1">
      <c r="A169" s="23" t="s">
        <v>171</v>
      </c>
      <c r="B169" s="7" t="s">
        <v>24</v>
      </c>
      <c r="C169" s="7" t="s">
        <v>33</v>
      </c>
      <c r="D169" s="24">
        <v>27.0</v>
      </c>
      <c r="E169" s="25">
        <v>44547.0</v>
      </c>
      <c r="F169" s="26">
        <v>113280.0</v>
      </c>
      <c r="G169" s="7" t="s">
        <v>97</v>
      </c>
      <c r="H169" s="27" t="s">
        <v>31</v>
      </c>
      <c r="I169" s="28">
        <f t="shared" si="1"/>
        <v>4.419178082</v>
      </c>
      <c r="J169" s="29">
        <v>3399.0</v>
      </c>
      <c r="K169" s="30">
        <f t="array" ref="K169">XLOOKUP(Staff[Rating],$O$2:$O$6,$P$2:$P$6)</f>
        <v>1</v>
      </c>
      <c r="L169" s="30">
        <f>YEAR(Staff[Date Joined])</f>
        <v>2021</v>
      </c>
    </row>
    <row r="170" ht="22.5" customHeight="1">
      <c r="A170" s="23" t="s">
        <v>184</v>
      </c>
      <c r="B170" s="7" t="s">
        <v>35</v>
      </c>
      <c r="C170" s="7" t="s">
        <v>33</v>
      </c>
      <c r="D170" s="24">
        <v>30.0</v>
      </c>
      <c r="E170" s="25">
        <v>44850.0</v>
      </c>
      <c r="F170" s="26">
        <v>114180.0</v>
      </c>
      <c r="G170" s="7" t="s">
        <v>29</v>
      </c>
      <c r="H170" s="27" t="s">
        <v>27</v>
      </c>
      <c r="I170" s="28">
        <f t="shared" si="1"/>
        <v>3.589041096</v>
      </c>
      <c r="J170" s="29">
        <v>2284.0</v>
      </c>
      <c r="K170" s="30">
        <f t="array" ref="K170">XLOOKUP(Staff[Rating],$O$2:$O$6,$P$2:$P$6)</f>
        <v>3</v>
      </c>
      <c r="L170" s="30">
        <f>YEAR(Staff[Date Joined])</f>
        <v>2022</v>
      </c>
    </row>
    <row r="171" ht="22.5" customHeight="1">
      <c r="A171" s="23" t="s">
        <v>191</v>
      </c>
      <c r="B171" s="7" t="s">
        <v>35</v>
      </c>
      <c r="C171" s="7" t="s">
        <v>33</v>
      </c>
      <c r="D171" s="24">
        <v>30.0</v>
      </c>
      <c r="E171" s="25">
        <v>44789.0</v>
      </c>
      <c r="F171" s="26">
        <v>114180.0</v>
      </c>
      <c r="G171" s="7" t="s">
        <v>29</v>
      </c>
      <c r="H171" s="27" t="s">
        <v>31</v>
      </c>
      <c r="I171" s="28">
        <f t="shared" si="1"/>
        <v>3.756164384</v>
      </c>
      <c r="J171" s="29">
        <v>2284.0</v>
      </c>
      <c r="K171" s="30">
        <f t="array" ref="K171">XLOOKUP(Staff[Rating],$O$2:$O$6,$P$2:$P$6)</f>
        <v>3</v>
      </c>
      <c r="L171" s="30">
        <f>YEAR(Staff[Date Joined])</f>
        <v>2022</v>
      </c>
    </row>
    <row r="172" ht="22.5" customHeight="1">
      <c r="A172" s="23" t="s">
        <v>158</v>
      </c>
      <c r="B172" s="7" t="s">
        <v>35</v>
      </c>
      <c r="C172" s="7" t="s">
        <v>30</v>
      </c>
      <c r="D172" s="24">
        <v>43.0</v>
      </c>
      <c r="E172" s="25">
        <v>45045.0</v>
      </c>
      <c r="F172" s="26">
        <v>114870.0</v>
      </c>
      <c r="G172" s="7" t="s">
        <v>29</v>
      </c>
      <c r="H172" s="27" t="s">
        <v>27</v>
      </c>
      <c r="I172" s="28">
        <f t="shared" si="1"/>
        <v>3.054794521</v>
      </c>
      <c r="J172" s="29">
        <v>2298.0</v>
      </c>
      <c r="K172" s="30">
        <f t="array" ref="K172">XLOOKUP(Staff[Rating],$O$2:$O$6,$P$2:$P$6)</f>
        <v>3</v>
      </c>
      <c r="L172" s="30">
        <f>YEAR(Staff[Date Joined])</f>
        <v>2023</v>
      </c>
    </row>
    <row r="173" ht="22.5" customHeight="1">
      <c r="A173" s="23" t="s">
        <v>91</v>
      </c>
      <c r="B173" s="7" t="s">
        <v>35</v>
      </c>
      <c r="C173" s="7" t="s">
        <v>30</v>
      </c>
      <c r="D173" s="24">
        <v>44.0</v>
      </c>
      <c r="E173" s="25">
        <v>44985.0</v>
      </c>
      <c r="F173" s="26">
        <v>114870.0</v>
      </c>
      <c r="G173" s="7" t="s">
        <v>29</v>
      </c>
      <c r="H173" s="27" t="s">
        <v>31</v>
      </c>
      <c r="I173" s="28">
        <f t="shared" si="1"/>
        <v>3.219178082</v>
      </c>
      <c r="J173" s="29">
        <v>2298.0</v>
      </c>
      <c r="K173" s="30">
        <f t="array" ref="K173">XLOOKUP(Staff[Rating],$O$2:$O$6,$P$2:$P$6)</f>
        <v>3</v>
      </c>
      <c r="L173" s="30">
        <f>YEAR(Staff[Date Joined])</f>
        <v>2023</v>
      </c>
    </row>
    <row r="174" ht="22.5" customHeight="1">
      <c r="A174" s="23" t="s">
        <v>142</v>
      </c>
      <c r="B174" s="7" t="s">
        <v>35</v>
      </c>
      <c r="C174" s="7" t="s">
        <v>33</v>
      </c>
      <c r="D174" s="24">
        <v>36.0</v>
      </c>
      <c r="E174" s="25">
        <v>44085.0</v>
      </c>
      <c r="F174" s="26">
        <v>114890.0</v>
      </c>
      <c r="G174" s="7" t="s">
        <v>29</v>
      </c>
      <c r="H174" s="27" t="s">
        <v>27</v>
      </c>
      <c r="I174" s="28">
        <f t="shared" si="1"/>
        <v>5.684931507</v>
      </c>
      <c r="J174" s="29">
        <v>3447.0</v>
      </c>
      <c r="K174" s="30">
        <f t="array" ref="K174">XLOOKUP(Staff[Rating],$O$2:$O$6,$P$2:$P$6)</f>
        <v>3</v>
      </c>
      <c r="L174" s="30">
        <f>YEAR(Staff[Date Joined])</f>
        <v>2020</v>
      </c>
    </row>
    <row r="175" ht="22.5" customHeight="1">
      <c r="A175" s="23" t="s">
        <v>114</v>
      </c>
      <c r="B175" s="7" t="s">
        <v>35</v>
      </c>
      <c r="C175" s="7" t="s">
        <v>33</v>
      </c>
      <c r="D175" s="24">
        <v>36.0</v>
      </c>
      <c r="E175" s="25">
        <v>44023.0</v>
      </c>
      <c r="F175" s="26">
        <v>114890.0</v>
      </c>
      <c r="G175" s="7" t="s">
        <v>29</v>
      </c>
      <c r="H175" s="27" t="s">
        <v>31</v>
      </c>
      <c r="I175" s="28">
        <f t="shared" si="1"/>
        <v>5.854794521</v>
      </c>
      <c r="J175" s="29">
        <v>3447.0</v>
      </c>
      <c r="K175" s="30">
        <f t="array" ref="K175">XLOOKUP(Staff[Rating],$O$2:$O$6,$P$2:$P$6)</f>
        <v>3</v>
      </c>
      <c r="L175" s="30">
        <f>YEAR(Staff[Date Joined])</f>
        <v>2020</v>
      </c>
    </row>
    <row r="176" ht="22.5" customHeight="1">
      <c r="A176" s="23" t="s">
        <v>38</v>
      </c>
      <c r="B176" s="7" t="s">
        <v>224</v>
      </c>
      <c r="C176" s="7" t="s">
        <v>39</v>
      </c>
      <c r="D176" s="24">
        <v>37.0</v>
      </c>
      <c r="E176" s="25">
        <v>44146.0</v>
      </c>
      <c r="F176" s="26">
        <v>115440.0</v>
      </c>
      <c r="G176" s="7" t="s">
        <v>40</v>
      </c>
      <c r="H176" s="27" t="s">
        <v>27</v>
      </c>
      <c r="I176" s="28">
        <f t="shared" si="1"/>
        <v>5.517808219</v>
      </c>
      <c r="J176" s="29">
        <v>3464.0</v>
      </c>
      <c r="K176" s="30">
        <f t="array" ref="K176">XLOOKUP(Staff[Rating],$O$2:$O$6,$P$2:$P$6)</f>
        <v>2</v>
      </c>
      <c r="L176" s="30">
        <f>YEAR(Staff[Date Joined])</f>
        <v>2020</v>
      </c>
    </row>
    <row r="177" ht="22.5" customHeight="1">
      <c r="A177" s="23" t="s">
        <v>44</v>
      </c>
      <c r="B177" s="7" t="s">
        <v>224</v>
      </c>
      <c r="C177" s="7" t="s">
        <v>39</v>
      </c>
      <c r="D177" s="24">
        <v>37.0</v>
      </c>
      <c r="E177" s="25">
        <v>44085.0</v>
      </c>
      <c r="F177" s="26">
        <v>115440.0</v>
      </c>
      <c r="G177" s="7" t="s">
        <v>40</v>
      </c>
      <c r="H177" s="27" t="s">
        <v>31</v>
      </c>
      <c r="I177" s="28">
        <f t="shared" si="1"/>
        <v>5.684931507</v>
      </c>
      <c r="J177" s="29">
        <v>3464.0</v>
      </c>
      <c r="K177" s="30">
        <f t="array" ref="K177">XLOOKUP(Staff[Rating],$O$2:$O$6,$P$2:$P$6)</f>
        <v>2</v>
      </c>
      <c r="L177" s="30">
        <f>YEAR(Staff[Date Joined])</f>
        <v>2020</v>
      </c>
    </row>
    <row r="178" ht="22.5" customHeight="1">
      <c r="A178" s="23" t="s">
        <v>99</v>
      </c>
      <c r="B178" s="7" t="s">
        <v>24</v>
      </c>
      <c r="C178" s="7" t="s">
        <v>33</v>
      </c>
      <c r="D178" s="24">
        <v>33.0</v>
      </c>
      <c r="E178" s="25">
        <v>44164.0</v>
      </c>
      <c r="F178" s="26">
        <v>115920.0</v>
      </c>
      <c r="G178" s="7" t="s">
        <v>29</v>
      </c>
      <c r="H178" s="27" t="s">
        <v>27</v>
      </c>
      <c r="I178" s="28">
        <f t="shared" si="1"/>
        <v>5.468493151</v>
      </c>
      <c r="J178" s="29">
        <v>3478.0</v>
      </c>
      <c r="K178" s="30">
        <f t="array" ref="K178">XLOOKUP(Staff[Rating],$O$2:$O$6,$P$2:$P$6)</f>
        <v>3</v>
      </c>
      <c r="L178" s="30">
        <f>YEAR(Staff[Date Joined])</f>
        <v>2020</v>
      </c>
    </row>
    <row r="179" ht="22.5" customHeight="1">
      <c r="A179" s="23" t="s">
        <v>143</v>
      </c>
      <c r="B179" s="7" t="s">
        <v>24</v>
      </c>
      <c r="C179" s="7" t="s">
        <v>33</v>
      </c>
      <c r="D179" s="24">
        <v>33.0</v>
      </c>
      <c r="E179" s="25">
        <v>44103.0</v>
      </c>
      <c r="F179" s="26">
        <v>115920.0</v>
      </c>
      <c r="G179" s="7" t="s">
        <v>29</v>
      </c>
      <c r="H179" s="27" t="s">
        <v>31</v>
      </c>
      <c r="I179" s="28">
        <f t="shared" si="1"/>
        <v>5.635616438</v>
      </c>
      <c r="J179" s="29">
        <v>3478.0</v>
      </c>
      <c r="K179" s="30">
        <f t="array" ref="K179">XLOOKUP(Staff[Rating],$O$2:$O$6,$P$2:$P$6)</f>
        <v>3</v>
      </c>
      <c r="L179" s="30">
        <f>YEAR(Staff[Date Joined])</f>
        <v>2020</v>
      </c>
    </row>
    <row r="180" ht="22.5" customHeight="1">
      <c r="A180" s="23" t="s">
        <v>154</v>
      </c>
      <c r="B180" s="7" t="s">
        <v>35</v>
      </c>
      <c r="C180" s="7" t="s">
        <v>42</v>
      </c>
      <c r="D180" s="24">
        <v>37.0</v>
      </c>
      <c r="E180" s="25">
        <v>44451.0</v>
      </c>
      <c r="F180" s="26">
        <v>118100.0</v>
      </c>
      <c r="G180" s="7" t="s">
        <v>29</v>
      </c>
      <c r="H180" s="27" t="s">
        <v>27</v>
      </c>
      <c r="I180" s="28">
        <f t="shared" si="1"/>
        <v>4.682191781</v>
      </c>
      <c r="J180" s="29">
        <v>3543.0</v>
      </c>
      <c r="K180" s="30">
        <f t="array" ref="K180">XLOOKUP(Staff[Rating],$O$2:$O$6,$P$2:$P$6)</f>
        <v>3</v>
      </c>
      <c r="L180" s="30">
        <f>YEAR(Staff[Date Joined])</f>
        <v>2021</v>
      </c>
    </row>
    <row r="181" ht="22.5" customHeight="1">
      <c r="A181" s="23" t="s">
        <v>187</v>
      </c>
      <c r="B181" s="7" t="s">
        <v>35</v>
      </c>
      <c r="C181" s="7" t="s">
        <v>42</v>
      </c>
      <c r="D181" s="24">
        <v>37.0</v>
      </c>
      <c r="E181" s="25">
        <v>44389.0</v>
      </c>
      <c r="F181" s="26">
        <v>118100.0</v>
      </c>
      <c r="G181" s="7" t="s">
        <v>29</v>
      </c>
      <c r="H181" s="27" t="s">
        <v>31</v>
      </c>
      <c r="I181" s="28">
        <f t="shared" si="1"/>
        <v>4.852054795</v>
      </c>
      <c r="J181" s="29">
        <v>3543.0</v>
      </c>
      <c r="K181" s="30">
        <f t="array" ref="K181">XLOOKUP(Staff[Rating],$O$2:$O$6,$P$2:$P$6)</f>
        <v>3</v>
      </c>
      <c r="L181" s="30">
        <f>YEAR(Staff[Date Joined])</f>
        <v>2021</v>
      </c>
    </row>
    <row r="182" ht="22.5" customHeight="1">
      <c r="A182" s="23" t="s">
        <v>135</v>
      </c>
      <c r="B182" s="7" t="s">
        <v>24</v>
      </c>
      <c r="C182" s="7" t="s">
        <v>30</v>
      </c>
      <c r="D182" s="24">
        <v>36.0</v>
      </c>
      <c r="E182" s="25">
        <v>44019.0</v>
      </c>
      <c r="F182" s="26">
        <v>118840.0</v>
      </c>
      <c r="G182" s="7" t="s">
        <v>29</v>
      </c>
      <c r="H182" s="27" t="s">
        <v>27</v>
      </c>
      <c r="I182" s="28">
        <f t="shared" si="1"/>
        <v>5.865753425</v>
      </c>
      <c r="J182" s="29">
        <v>3566.0</v>
      </c>
      <c r="K182" s="30">
        <f t="array" ref="K182">XLOOKUP(Staff[Rating],$O$2:$O$6,$P$2:$P$6)</f>
        <v>3</v>
      </c>
      <c r="L182" s="30">
        <f>YEAR(Staff[Date Joined])</f>
        <v>2020</v>
      </c>
    </row>
    <row r="183" ht="22.5" customHeight="1">
      <c r="A183" s="23" t="s">
        <v>68</v>
      </c>
      <c r="B183" s="7" t="s">
        <v>24</v>
      </c>
      <c r="C183" s="7" t="s">
        <v>30</v>
      </c>
      <c r="D183" s="24">
        <v>36.0</v>
      </c>
      <c r="E183" s="25">
        <v>43958.0</v>
      </c>
      <c r="F183" s="26">
        <v>118840.0</v>
      </c>
      <c r="G183" s="7" t="s">
        <v>29</v>
      </c>
      <c r="H183" s="27" t="s">
        <v>31</v>
      </c>
      <c r="I183" s="28">
        <f t="shared" si="1"/>
        <v>6.032876712</v>
      </c>
      <c r="J183" s="29">
        <v>3566.0</v>
      </c>
      <c r="K183" s="30">
        <f t="array" ref="K183">XLOOKUP(Staff[Rating],$O$2:$O$6,$P$2:$P$6)</f>
        <v>3</v>
      </c>
      <c r="L183" s="30">
        <f>YEAR(Staff[Date Joined])</f>
        <v>2020</v>
      </c>
    </row>
    <row r="184" ht="22.5" customHeight="1">
      <c r="A184" s="23" t="s">
        <v>53</v>
      </c>
      <c r="B184" s="7" t="s">
        <v>35</v>
      </c>
      <c r="C184" s="7" t="s">
        <v>42</v>
      </c>
      <c r="D184" s="24">
        <v>27.0</v>
      </c>
      <c r="E184" s="25">
        <v>44122.0</v>
      </c>
      <c r="F184" s="26">
        <v>119110.0</v>
      </c>
      <c r="G184" s="7" t="s">
        <v>29</v>
      </c>
      <c r="H184" s="27" t="s">
        <v>27</v>
      </c>
      <c r="I184" s="28">
        <f t="shared" si="1"/>
        <v>5.583561644</v>
      </c>
      <c r="J184" s="29">
        <v>3574.0</v>
      </c>
      <c r="K184" s="30">
        <f t="array" ref="K184">XLOOKUP(Staff[Rating],$O$2:$O$6,$P$2:$P$6)</f>
        <v>3</v>
      </c>
      <c r="L184" s="30">
        <f>YEAR(Staff[Date Joined])</f>
        <v>2020</v>
      </c>
    </row>
    <row r="185" ht="22.5" customHeight="1">
      <c r="A185" s="23" t="s">
        <v>110</v>
      </c>
      <c r="B185" s="7" t="s">
        <v>35</v>
      </c>
      <c r="C185" s="7" t="s">
        <v>42</v>
      </c>
      <c r="D185" s="24">
        <v>27.0</v>
      </c>
      <c r="E185" s="25">
        <v>44061.0</v>
      </c>
      <c r="F185" s="26">
        <v>119110.0</v>
      </c>
      <c r="G185" s="7" t="s">
        <v>29</v>
      </c>
      <c r="H185" s="27" t="s">
        <v>31</v>
      </c>
      <c r="I185" s="28">
        <f t="shared" si="1"/>
        <v>5.750684932</v>
      </c>
      <c r="J185" s="29">
        <v>3574.0</v>
      </c>
      <c r="K185" s="30">
        <f t="array" ref="K185">XLOOKUP(Staff[Rating],$O$2:$O$6,$P$2:$P$6)</f>
        <v>3</v>
      </c>
      <c r="L185" s="30">
        <f>YEAR(Staff[Date Joined])</f>
        <v>2020</v>
      </c>
    </row>
    <row r="186" ht="22.5" customHeight="1">
      <c r="B186" s="34"/>
      <c r="C186" s="34"/>
      <c r="D186" s="35"/>
      <c r="E186" s="36"/>
      <c r="F186" s="37"/>
      <c r="G186" s="34"/>
      <c r="H186" s="34"/>
      <c r="I186" s="28"/>
      <c r="J186" s="29">
        <v>0.0</v>
      </c>
    </row>
    <row r="187" ht="22.5" customHeight="1">
      <c r="B187" s="34"/>
      <c r="C187" s="34"/>
      <c r="D187" s="35"/>
      <c r="E187" s="36"/>
      <c r="F187" s="37"/>
      <c r="G187" s="34"/>
      <c r="H187" s="34"/>
      <c r="I187" s="28"/>
      <c r="J187" s="29">
        <v>0.0</v>
      </c>
    </row>
    <row r="188" ht="22.5" customHeight="1">
      <c r="B188" s="34"/>
      <c r="C188" s="34"/>
      <c r="D188" s="35"/>
      <c r="E188" s="36"/>
      <c r="F188" s="37"/>
      <c r="G188" s="34"/>
      <c r="H188" s="34"/>
      <c r="I188" s="28"/>
      <c r="J188" s="29">
        <v>0.0</v>
      </c>
    </row>
    <row r="189" ht="22.5" customHeight="1">
      <c r="B189" s="34"/>
      <c r="C189" s="34"/>
      <c r="D189" s="35"/>
      <c r="E189" s="36"/>
      <c r="F189" s="37"/>
      <c r="G189" s="34"/>
      <c r="H189" s="34"/>
      <c r="I189" s="28"/>
      <c r="J189" s="29">
        <v>0.0</v>
      </c>
    </row>
    <row r="190" ht="22.5" customHeight="1">
      <c r="B190" s="34"/>
      <c r="C190" s="34"/>
      <c r="D190" s="35"/>
      <c r="E190" s="36"/>
      <c r="F190" s="37"/>
      <c r="G190" s="34"/>
      <c r="H190" s="34"/>
      <c r="I190" s="28"/>
      <c r="J190" s="29">
        <v>0.0</v>
      </c>
    </row>
    <row r="191" ht="22.5" customHeight="1">
      <c r="B191" s="34"/>
      <c r="C191" s="34"/>
      <c r="D191" s="35"/>
      <c r="E191" s="36"/>
      <c r="F191" s="37"/>
      <c r="G191" s="34"/>
      <c r="H191" s="34"/>
      <c r="I191" s="28"/>
      <c r="J191" s="29">
        <v>0.0</v>
      </c>
    </row>
    <row r="192" ht="22.5" customHeight="1">
      <c r="B192" s="34"/>
      <c r="C192" s="34"/>
      <c r="D192" s="35"/>
      <c r="E192" s="36"/>
      <c r="F192" s="37"/>
      <c r="G192" s="34"/>
      <c r="H192" s="34"/>
      <c r="I192" s="28"/>
      <c r="J192" s="29">
        <v>0.0</v>
      </c>
    </row>
    <row r="193" ht="22.5" customHeight="1">
      <c r="B193" s="34"/>
      <c r="C193" s="34"/>
      <c r="D193" s="35"/>
      <c r="E193" s="36"/>
      <c r="F193" s="37"/>
      <c r="G193" s="34"/>
      <c r="H193" s="34"/>
      <c r="I193" s="28"/>
      <c r="J193" s="29">
        <v>0.0</v>
      </c>
    </row>
    <row r="194" ht="22.5" customHeight="1">
      <c r="B194" s="34"/>
      <c r="C194" s="34"/>
      <c r="D194" s="35"/>
      <c r="E194" s="36"/>
      <c r="F194" s="37"/>
      <c r="G194" s="34"/>
      <c r="H194" s="34"/>
      <c r="I194" s="28"/>
      <c r="J194" s="29">
        <v>0.0</v>
      </c>
    </row>
    <row r="195" ht="22.5" customHeight="1">
      <c r="B195" s="34"/>
      <c r="C195" s="34"/>
      <c r="D195" s="35"/>
      <c r="E195" s="36"/>
      <c r="F195" s="37"/>
      <c r="G195" s="34"/>
      <c r="H195" s="34"/>
      <c r="I195" s="28"/>
      <c r="J195" s="29">
        <v>0.0</v>
      </c>
    </row>
    <row r="196" ht="22.5" customHeight="1">
      <c r="B196" s="34"/>
      <c r="C196" s="34"/>
      <c r="D196" s="35"/>
      <c r="E196" s="36"/>
      <c r="F196" s="37"/>
      <c r="G196" s="34"/>
      <c r="H196" s="34"/>
      <c r="I196" s="28"/>
      <c r="J196" s="29">
        <v>0.0</v>
      </c>
    </row>
    <row r="197" ht="22.5" customHeight="1">
      <c r="B197" s="34"/>
      <c r="C197" s="34"/>
      <c r="D197" s="35"/>
      <c r="E197" s="36"/>
      <c r="F197" s="37"/>
      <c r="G197" s="34"/>
      <c r="H197" s="34"/>
      <c r="I197" s="28"/>
      <c r="J197" s="29">
        <v>0.0</v>
      </c>
    </row>
    <row r="198" ht="22.5" customHeight="1">
      <c r="B198" s="34"/>
      <c r="C198" s="34"/>
      <c r="D198" s="35"/>
      <c r="E198" s="36"/>
      <c r="F198" s="37"/>
      <c r="G198" s="34"/>
      <c r="H198" s="34"/>
      <c r="I198" s="28"/>
      <c r="J198" s="29">
        <v>0.0</v>
      </c>
    </row>
    <row r="199" ht="22.5" customHeight="1">
      <c r="B199" s="34"/>
      <c r="C199" s="34"/>
      <c r="D199" s="35"/>
      <c r="E199" s="36"/>
      <c r="F199" s="37"/>
      <c r="G199" s="34"/>
      <c r="H199" s="34"/>
      <c r="I199" s="28"/>
      <c r="J199" s="29">
        <v>0.0</v>
      </c>
    </row>
    <row r="200" ht="22.5" customHeight="1">
      <c r="B200" s="34"/>
      <c r="C200" s="34"/>
      <c r="D200" s="35"/>
      <c r="E200" s="36"/>
      <c r="F200" s="37"/>
      <c r="G200" s="34"/>
      <c r="H200" s="34"/>
      <c r="I200" s="28"/>
      <c r="J200" s="29">
        <v>0.0</v>
      </c>
    </row>
    <row r="201" ht="22.5" customHeight="1">
      <c r="B201" s="34"/>
      <c r="C201" s="34"/>
      <c r="D201" s="35"/>
      <c r="E201" s="36"/>
      <c r="F201" s="37"/>
      <c r="G201" s="34"/>
      <c r="H201" s="34"/>
      <c r="I201" s="28"/>
      <c r="J201" s="29">
        <v>0.0</v>
      </c>
    </row>
    <row r="202" ht="22.5" customHeight="1">
      <c r="B202" s="34"/>
      <c r="C202" s="34"/>
      <c r="D202" s="35"/>
      <c r="E202" s="36"/>
      <c r="F202" s="37"/>
      <c r="G202" s="34"/>
      <c r="H202" s="34"/>
      <c r="I202" s="28"/>
      <c r="J202" s="29">
        <v>0.0</v>
      </c>
    </row>
    <row r="203" ht="22.5" customHeight="1">
      <c r="B203" s="34"/>
      <c r="C203" s="34"/>
      <c r="D203" s="35"/>
      <c r="E203" s="36"/>
      <c r="F203" s="37"/>
      <c r="G203" s="34"/>
      <c r="H203" s="34"/>
      <c r="I203" s="28"/>
      <c r="J203" s="29">
        <v>0.0</v>
      </c>
    </row>
    <row r="204" ht="22.5" customHeight="1">
      <c r="B204" s="34"/>
      <c r="C204" s="34"/>
      <c r="D204" s="35"/>
      <c r="E204" s="36"/>
      <c r="F204" s="37"/>
      <c r="G204" s="34"/>
      <c r="H204" s="34"/>
      <c r="I204" s="28"/>
      <c r="J204" s="29">
        <v>0.0</v>
      </c>
    </row>
    <row r="205" ht="22.5" customHeight="1">
      <c r="B205" s="34"/>
      <c r="C205" s="34"/>
      <c r="D205" s="35"/>
      <c r="E205" s="36"/>
      <c r="F205" s="37"/>
      <c r="G205" s="34"/>
      <c r="H205" s="34"/>
      <c r="I205" s="28"/>
      <c r="J205" s="29">
        <v>0.0</v>
      </c>
    </row>
    <row r="206" ht="22.5" customHeight="1">
      <c r="B206" s="34"/>
      <c r="C206" s="34"/>
      <c r="D206" s="35"/>
      <c r="E206" s="36"/>
      <c r="F206" s="37"/>
      <c r="G206" s="34"/>
      <c r="H206" s="34"/>
      <c r="I206" s="28"/>
      <c r="J206" s="29">
        <v>0.0</v>
      </c>
    </row>
    <row r="207" ht="22.5" customHeight="1">
      <c r="B207" s="34"/>
      <c r="C207" s="34"/>
      <c r="D207" s="35"/>
      <c r="E207" s="36"/>
      <c r="F207" s="37"/>
      <c r="G207" s="34"/>
      <c r="H207" s="34"/>
      <c r="I207" s="28"/>
      <c r="J207" s="29">
        <v>0.0</v>
      </c>
    </row>
    <row r="208" ht="22.5" customHeight="1">
      <c r="B208" s="34"/>
      <c r="C208" s="34"/>
      <c r="D208" s="35"/>
      <c r="E208" s="36"/>
      <c r="F208" s="37"/>
      <c r="G208" s="34"/>
      <c r="H208" s="34"/>
      <c r="I208" s="28"/>
      <c r="J208" s="29">
        <v>0.0</v>
      </c>
    </row>
    <row r="209" ht="22.5" customHeight="1">
      <c r="B209" s="34"/>
      <c r="C209" s="34"/>
      <c r="D209" s="35"/>
      <c r="E209" s="36"/>
      <c r="F209" s="37"/>
      <c r="G209" s="34"/>
      <c r="H209" s="34"/>
      <c r="I209" s="28"/>
      <c r="J209" s="29">
        <v>0.0</v>
      </c>
    </row>
    <row r="210" ht="22.5" customHeight="1">
      <c r="B210" s="34"/>
      <c r="C210" s="34"/>
      <c r="D210" s="35"/>
      <c r="E210" s="36"/>
      <c r="F210" s="37"/>
      <c r="G210" s="34"/>
      <c r="H210" s="34"/>
      <c r="I210" s="28"/>
      <c r="J210" s="29">
        <v>0.0</v>
      </c>
    </row>
    <row r="211" ht="22.5" customHeight="1">
      <c r="B211" s="34"/>
      <c r="C211" s="34"/>
      <c r="D211" s="35"/>
      <c r="E211" s="36"/>
      <c r="F211" s="37"/>
      <c r="G211" s="34"/>
      <c r="H211" s="34"/>
      <c r="I211" s="28"/>
      <c r="J211" s="29">
        <v>0.0</v>
      </c>
    </row>
    <row r="212" ht="22.5" customHeight="1">
      <c r="B212" s="34"/>
      <c r="C212" s="34"/>
      <c r="D212" s="35"/>
      <c r="E212" s="36"/>
      <c r="F212" s="37"/>
      <c r="G212" s="34"/>
      <c r="H212" s="34"/>
      <c r="I212" s="28"/>
      <c r="J212" s="29">
        <v>0.0</v>
      </c>
    </row>
    <row r="213" ht="22.5" customHeight="1">
      <c r="B213" s="34"/>
      <c r="C213" s="34"/>
      <c r="D213" s="35"/>
      <c r="E213" s="36"/>
      <c r="F213" s="37"/>
      <c r="G213" s="34"/>
      <c r="H213" s="34"/>
      <c r="I213" s="28"/>
      <c r="J213" s="29">
        <v>0.0</v>
      </c>
    </row>
    <row r="214">
      <c r="E214" s="38"/>
      <c r="F214" s="39"/>
      <c r="H214" s="39"/>
      <c r="I214" s="40"/>
      <c r="J214" s="41"/>
    </row>
    <row r="215">
      <c r="E215" s="38"/>
      <c r="F215" s="39"/>
      <c r="H215" s="39"/>
      <c r="I215" s="40"/>
      <c r="J215" s="41"/>
    </row>
    <row r="216">
      <c r="E216" s="38"/>
      <c r="F216" s="39"/>
      <c r="H216" s="39"/>
      <c r="I216" s="40"/>
      <c r="J216" s="41"/>
    </row>
    <row r="217">
      <c r="E217" s="38"/>
      <c r="F217" s="39"/>
      <c r="H217" s="39"/>
      <c r="I217" s="40"/>
      <c r="J217" s="41"/>
    </row>
    <row r="218">
      <c r="E218" s="38"/>
      <c r="F218" s="39"/>
      <c r="H218" s="39"/>
      <c r="I218" s="40"/>
      <c r="J218" s="41"/>
    </row>
    <row r="219">
      <c r="E219" s="38"/>
      <c r="F219" s="39"/>
      <c r="H219" s="39"/>
      <c r="I219" s="40"/>
      <c r="J219" s="41"/>
    </row>
    <row r="220">
      <c r="E220" s="38"/>
      <c r="F220" s="39"/>
      <c r="H220" s="39"/>
      <c r="I220" s="40"/>
      <c r="J220" s="41"/>
    </row>
    <row r="221">
      <c r="E221" s="38"/>
      <c r="F221" s="39"/>
      <c r="H221" s="39"/>
      <c r="I221" s="40"/>
      <c r="J221" s="41"/>
    </row>
    <row r="222">
      <c r="E222" s="38"/>
      <c r="F222" s="39"/>
      <c r="H222" s="39"/>
      <c r="I222" s="40"/>
      <c r="J222" s="41"/>
    </row>
    <row r="223">
      <c r="E223" s="38"/>
      <c r="F223" s="39"/>
      <c r="H223" s="39"/>
      <c r="I223" s="40"/>
      <c r="J223" s="41"/>
    </row>
    <row r="224">
      <c r="E224" s="38"/>
      <c r="F224" s="39"/>
      <c r="H224" s="39"/>
      <c r="I224" s="40"/>
      <c r="J224" s="41"/>
    </row>
    <row r="225">
      <c r="E225" s="38"/>
      <c r="F225" s="39"/>
      <c r="H225" s="39"/>
      <c r="I225" s="40"/>
      <c r="J225" s="41"/>
    </row>
    <row r="226">
      <c r="E226" s="38"/>
      <c r="F226" s="39"/>
      <c r="H226" s="39"/>
      <c r="I226" s="40"/>
      <c r="J226" s="41"/>
    </row>
    <row r="227">
      <c r="E227" s="38"/>
      <c r="F227" s="39"/>
      <c r="H227" s="39"/>
      <c r="I227" s="40"/>
      <c r="J227" s="41"/>
    </row>
    <row r="228">
      <c r="E228" s="38"/>
      <c r="F228" s="39"/>
      <c r="H228" s="39"/>
      <c r="I228" s="40"/>
      <c r="J228" s="41"/>
    </row>
    <row r="229">
      <c r="E229" s="38"/>
      <c r="F229" s="39"/>
      <c r="H229" s="39"/>
      <c r="I229" s="40"/>
      <c r="J229" s="41"/>
    </row>
    <row r="230">
      <c r="E230" s="38"/>
      <c r="F230" s="39"/>
      <c r="H230" s="39"/>
      <c r="I230" s="40"/>
      <c r="J230" s="41"/>
    </row>
    <row r="231">
      <c r="E231" s="38"/>
      <c r="F231" s="39"/>
      <c r="H231" s="39"/>
      <c r="I231" s="40"/>
      <c r="J231" s="41"/>
    </row>
    <row r="232">
      <c r="E232" s="38"/>
      <c r="F232" s="39"/>
      <c r="H232" s="39"/>
      <c r="I232" s="40"/>
      <c r="J232" s="41"/>
    </row>
    <row r="233">
      <c r="E233" s="38"/>
      <c r="F233" s="39"/>
      <c r="H233" s="39"/>
      <c r="I233" s="40"/>
      <c r="J233" s="41"/>
    </row>
    <row r="234">
      <c r="E234" s="38"/>
      <c r="F234" s="39"/>
      <c r="H234" s="39"/>
      <c r="I234" s="40"/>
      <c r="J234" s="41"/>
    </row>
    <row r="235">
      <c r="E235" s="38"/>
      <c r="F235" s="39"/>
      <c r="H235" s="39"/>
      <c r="I235" s="40"/>
      <c r="J235" s="41"/>
    </row>
    <row r="236">
      <c r="E236" s="38"/>
      <c r="F236" s="39"/>
      <c r="H236" s="39"/>
      <c r="I236" s="40"/>
      <c r="J236" s="41"/>
    </row>
    <row r="237">
      <c r="E237" s="38"/>
      <c r="F237" s="39"/>
      <c r="H237" s="39"/>
      <c r="I237" s="40"/>
      <c r="J237" s="41"/>
    </row>
    <row r="238">
      <c r="E238" s="38"/>
      <c r="F238" s="39"/>
      <c r="H238" s="39"/>
      <c r="I238" s="40"/>
      <c r="J238" s="41"/>
    </row>
    <row r="239">
      <c r="E239" s="38"/>
      <c r="F239" s="39"/>
      <c r="H239" s="39"/>
      <c r="I239" s="40"/>
      <c r="J239" s="41"/>
    </row>
    <row r="240">
      <c r="E240" s="38"/>
      <c r="F240" s="39"/>
      <c r="H240" s="39"/>
      <c r="I240" s="40"/>
      <c r="J240" s="41"/>
    </row>
    <row r="241">
      <c r="E241" s="38"/>
      <c r="F241" s="39"/>
      <c r="H241" s="39"/>
      <c r="I241" s="40"/>
      <c r="J241" s="41"/>
    </row>
    <row r="242">
      <c r="E242" s="38"/>
      <c r="F242" s="39"/>
      <c r="H242" s="39"/>
      <c r="I242" s="40"/>
      <c r="J242" s="41"/>
    </row>
    <row r="243">
      <c r="E243" s="38"/>
      <c r="F243" s="39"/>
      <c r="H243" s="39"/>
      <c r="I243" s="40"/>
      <c r="J243" s="41"/>
    </row>
    <row r="244">
      <c r="E244" s="38"/>
      <c r="F244" s="39"/>
      <c r="H244" s="39"/>
      <c r="I244" s="40"/>
      <c r="J244" s="41"/>
    </row>
    <row r="245">
      <c r="E245" s="38"/>
      <c r="F245" s="39"/>
      <c r="H245" s="39"/>
      <c r="I245" s="40"/>
      <c r="J245" s="41"/>
    </row>
    <row r="246">
      <c r="E246" s="38"/>
      <c r="F246" s="39"/>
      <c r="H246" s="39"/>
      <c r="I246" s="40"/>
      <c r="J246" s="41"/>
    </row>
    <row r="247">
      <c r="E247" s="38"/>
      <c r="F247" s="39"/>
      <c r="H247" s="39"/>
      <c r="I247" s="40"/>
      <c r="J247" s="41"/>
    </row>
    <row r="248">
      <c r="E248" s="38"/>
      <c r="F248" s="39"/>
      <c r="H248" s="39"/>
      <c r="I248" s="40"/>
      <c r="J248" s="41"/>
    </row>
    <row r="249">
      <c r="E249" s="38"/>
      <c r="F249" s="39"/>
      <c r="H249" s="39"/>
      <c r="I249" s="40"/>
      <c r="J249" s="41"/>
    </row>
    <row r="250">
      <c r="E250" s="38"/>
      <c r="F250" s="39"/>
      <c r="H250" s="39"/>
      <c r="I250" s="40"/>
      <c r="J250" s="41"/>
    </row>
    <row r="251">
      <c r="E251" s="38"/>
      <c r="F251" s="39"/>
      <c r="H251" s="39"/>
      <c r="I251" s="40"/>
      <c r="J251" s="41"/>
    </row>
    <row r="252">
      <c r="E252" s="38"/>
      <c r="F252" s="39"/>
      <c r="H252" s="39"/>
      <c r="I252" s="40"/>
      <c r="J252" s="41"/>
    </row>
    <row r="253">
      <c r="E253" s="38"/>
      <c r="F253" s="39"/>
      <c r="H253" s="39"/>
      <c r="I253" s="40"/>
      <c r="J253" s="41"/>
    </row>
    <row r="254">
      <c r="E254" s="38"/>
      <c r="F254" s="39"/>
      <c r="H254" s="39"/>
      <c r="I254" s="40"/>
      <c r="J254" s="41"/>
    </row>
    <row r="255">
      <c r="E255" s="38"/>
      <c r="F255" s="39"/>
      <c r="H255" s="39"/>
      <c r="I255" s="40"/>
      <c r="J255" s="41"/>
    </row>
    <row r="256">
      <c r="E256" s="38"/>
      <c r="F256" s="39"/>
      <c r="H256" s="39"/>
      <c r="I256" s="40"/>
      <c r="J256" s="41"/>
    </row>
    <row r="257">
      <c r="E257" s="38"/>
      <c r="F257" s="39"/>
      <c r="H257" s="39"/>
      <c r="I257" s="40"/>
      <c r="J257" s="41"/>
    </row>
    <row r="258">
      <c r="E258" s="38"/>
      <c r="F258" s="39"/>
      <c r="H258" s="39"/>
      <c r="I258" s="40"/>
      <c r="J258" s="41"/>
    </row>
    <row r="259">
      <c r="E259" s="38"/>
      <c r="F259" s="39"/>
      <c r="H259" s="39"/>
      <c r="I259" s="40"/>
      <c r="J259" s="41"/>
    </row>
    <row r="260">
      <c r="E260" s="38"/>
      <c r="F260" s="39"/>
      <c r="H260" s="39"/>
      <c r="I260" s="40"/>
      <c r="J260" s="41"/>
    </row>
    <row r="261">
      <c r="E261" s="38"/>
      <c r="F261" s="39"/>
      <c r="H261" s="39"/>
      <c r="I261" s="40"/>
      <c r="J261" s="41"/>
    </row>
    <row r="262">
      <c r="E262" s="38"/>
      <c r="F262" s="39"/>
      <c r="H262" s="39"/>
      <c r="I262" s="40"/>
      <c r="J262" s="41"/>
    </row>
    <row r="263">
      <c r="E263" s="38"/>
      <c r="F263" s="39"/>
      <c r="H263" s="39"/>
      <c r="I263" s="40"/>
      <c r="J263" s="41"/>
    </row>
    <row r="264">
      <c r="E264" s="38"/>
      <c r="F264" s="39"/>
      <c r="H264" s="39"/>
      <c r="I264" s="40"/>
      <c r="J264" s="41"/>
    </row>
    <row r="265">
      <c r="E265" s="38"/>
      <c r="F265" s="39"/>
      <c r="H265" s="39"/>
      <c r="I265" s="40"/>
      <c r="J265" s="41"/>
    </row>
    <row r="266">
      <c r="E266" s="38"/>
      <c r="F266" s="39"/>
      <c r="H266" s="39"/>
      <c r="I266" s="40"/>
      <c r="J266" s="41"/>
    </row>
    <row r="267">
      <c r="E267" s="38"/>
      <c r="F267" s="39"/>
      <c r="H267" s="39"/>
      <c r="I267" s="40"/>
      <c r="J267" s="41"/>
    </row>
    <row r="268">
      <c r="E268" s="38"/>
      <c r="F268" s="39"/>
      <c r="H268" s="39"/>
      <c r="I268" s="40"/>
      <c r="J268" s="41"/>
    </row>
    <row r="269">
      <c r="E269" s="38"/>
      <c r="F269" s="39"/>
      <c r="H269" s="39"/>
      <c r="I269" s="40"/>
      <c r="J269" s="41"/>
    </row>
    <row r="270">
      <c r="E270" s="38"/>
      <c r="F270" s="39"/>
      <c r="H270" s="39"/>
      <c r="I270" s="40"/>
      <c r="J270" s="41"/>
    </row>
    <row r="271">
      <c r="E271" s="38"/>
      <c r="F271" s="39"/>
      <c r="H271" s="39"/>
      <c r="I271" s="40"/>
      <c r="J271" s="41"/>
    </row>
    <row r="272">
      <c r="E272" s="38"/>
      <c r="F272" s="39"/>
      <c r="H272" s="39"/>
      <c r="I272" s="40"/>
      <c r="J272" s="41"/>
    </row>
    <row r="273">
      <c r="E273" s="38"/>
      <c r="F273" s="39"/>
      <c r="H273" s="39"/>
      <c r="I273" s="40"/>
      <c r="J273" s="41"/>
    </row>
    <row r="274">
      <c r="E274" s="38"/>
      <c r="F274" s="39"/>
      <c r="H274" s="39"/>
      <c r="I274" s="40"/>
      <c r="J274" s="41"/>
    </row>
    <row r="275">
      <c r="E275" s="38"/>
      <c r="F275" s="39"/>
      <c r="H275" s="39"/>
      <c r="I275" s="40"/>
      <c r="J275" s="41"/>
    </row>
    <row r="276">
      <c r="E276" s="38"/>
      <c r="F276" s="39"/>
      <c r="H276" s="39"/>
      <c r="I276" s="40"/>
      <c r="J276" s="41"/>
    </row>
    <row r="277">
      <c r="E277" s="38"/>
      <c r="F277" s="39"/>
      <c r="H277" s="39"/>
      <c r="I277" s="40"/>
      <c r="J277" s="41"/>
    </row>
    <row r="278">
      <c r="E278" s="38"/>
      <c r="F278" s="39"/>
      <c r="H278" s="39"/>
      <c r="I278" s="40"/>
      <c r="J278" s="41"/>
    </row>
    <row r="279">
      <c r="E279" s="38"/>
      <c r="F279" s="39"/>
      <c r="H279" s="39"/>
      <c r="I279" s="40"/>
      <c r="J279" s="41"/>
    </row>
    <row r="280">
      <c r="E280" s="38"/>
      <c r="F280" s="39"/>
      <c r="H280" s="39"/>
      <c r="I280" s="40"/>
      <c r="J280" s="41"/>
    </row>
    <row r="281">
      <c r="E281" s="38"/>
      <c r="F281" s="39"/>
      <c r="H281" s="39"/>
      <c r="I281" s="40"/>
      <c r="J281" s="41"/>
    </row>
    <row r="282">
      <c r="E282" s="38"/>
      <c r="F282" s="39"/>
      <c r="H282" s="39"/>
      <c r="I282" s="40"/>
      <c r="J282" s="41"/>
    </row>
    <row r="283">
      <c r="E283" s="38"/>
      <c r="F283" s="39"/>
      <c r="H283" s="39"/>
      <c r="I283" s="40"/>
      <c r="J283" s="41"/>
    </row>
    <row r="284">
      <c r="E284" s="38"/>
      <c r="F284" s="39"/>
      <c r="H284" s="39"/>
      <c r="I284" s="40"/>
      <c r="J284" s="41"/>
    </row>
    <row r="285">
      <c r="E285" s="38"/>
      <c r="F285" s="39"/>
      <c r="H285" s="39"/>
      <c r="I285" s="40"/>
      <c r="J285" s="41"/>
    </row>
    <row r="286">
      <c r="E286" s="38"/>
      <c r="F286" s="39"/>
      <c r="H286" s="39"/>
      <c r="I286" s="40"/>
      <c r="J286" s="41"/>
    </row>
    <row r="287">
      <c r="E287" s="38"/>
      <c r="F287" s="39"/>
      <c r="H287" s="39"/>
      <c r="I287" s="40"/>
      <c r="J287" s="41"/>
    </row>
    <row r="288">
      <c r="E288" s="38"/>
      <c r="F288" s="39"/>
      <c r="H288" s="39"/>
      <c r="I288" s="40"/>
      <c r="J288" s="41"/>
    </row>
    <row r="289">
      <c r="E289" s="38"/>
      <c r="F289" s="39"/>
      <c r="H289" s="39"/>
      <c r="I289" s="40"/>
      <c r="J289" s="41"/>
    </row>
    <row r="290">
      <c r="E290" s="38"/>
      <c r="F290" s="39"/>
      <c r="H290" s="39"/>
      <c r="I290" s="40"/>
      <c r="J290" s="41"/>
    </row>
    <row r="291">
      <c r="E291" s="38"/>
      <c r="F291" s="39"/>
      <c r="H291" s="39"/>
      <c r="I291" s="40"/>
      <c r="J291" s="41"/>
    </row>
    <row r="292">
      <c r="E292" s="38"/>
      <c r="F292" s="39"/>
      <c r="H292" s="39"/>
      <c r="I292" s="40"/>
      <c r="J292" s="41"/>
    </row>
    <row r="293">
      <c r="E293" s="38"/>
      <c r="F293" s="39"/>
      <c r="H293" s="39"/>
      <c r="I293" s="40"/>
      <c r="J293" s="41"/>
    </row>
    <row r="294">
      <c r="E294" s="38"/>
      <c r="F294" s="39"/>
      <c r="H294" s="39"/>
      <c r="I294" s="40"/>
      <c r="J294" s="41"/>
    </row>
    <row r="295">
      <c r="E295" s="38"/>
      <c r="F295" s="39"/>
      <c r="H295" s="39"/>
      <c r="I295" s="40"/>
      <c r="J295" s="41"/>
    </row>
    <row r="296">
      <c r="E296" s="38"/>
      <c r="F296" s="39"/>
      <c r="H296" s="39"/>
      <c r="I296" s="40"/>
      <c r="J296" s="41"/>
    </row>
    <row r="297">
      <c r="E297" s="38"/>
      <c r="F297" s="39"/>
      <c r="H297" s="39"/>
      <c r="I297" s="40"/>
      <c r="J297" s="41"/>
    </row>
    <row r="298">
      <c r="E298" s="38"/>
      <c r="F298" s="39"/>
      <c r="H298" s="39"/>
      <c r="I298" s="40"/>
      <c r="J298" s="41"/>
    </row>
    <row r="299">
      <c r="E299" s="38"/>
      <c r="F299" s="39"/>
      <c r="H299" s="39"/>
      <c r="I299" s="40"/>
      <c r="J299" s="41"/>
    </row>
    <row r="300">
      <c r="E300" s="38"/>
      <c r="F300" s="39"/>
      <c r="H300" s="39"/>
      <c r="I300" s="40"/>
      <c r="J300" s="41"/>
    </row>
    <row r="301">
      <c r="E301" s="38"/>
      <c r="F301" s="39"/>
      <c r="H301" s="39"/>
      <c r="I301" s="40"/>
      <c r="J301" s="41"/>
    </row>
    <row r="302">
      <c r="E302" s="38"/>
      <c r="F302" s="39"/>
      <c r="H302" s="39"/>
      <c r="I302" s="40"/>
      <c r="J302" s="41"/>
    </row>
    <row r="303">
      <c r="E303" s="38"/>
      <c r="F303" s="39"/>
      <c r="H303" s="39"/>
      <c r="I303" s="40"/>
      <c r="J303" s="41"/>
    </row>
    <row r="304">
      <c r="E304" s="38"/>
      <c r="F304" s="39"/>
      <c r="H304" s="39"/>
      <c r="I304" s="40"/>
      <c r="J304" s="41"/>
    </row>
    <row r="305">
      <c r="E305" s="38"/>
      <c r="F305" s="39"/>
      <c r="H305" s="39"/>
      <c r="I305" s="40"/>
      <c r="J305" s="41"/>
    </row>
    <row r="306">
      <c r="E306" s="38"/>
      <c r="F306" s="39"/>
      <c r="H306" s="39"/>
      <c r="I306" s="40"/>
      <c r="J306" s="41"/>
    </row>
    <row r="307">
      <c r="E307" s="38"/>
      <c r="F307" s="39"/>
      <c r="H307" s="39"/>
      <c r="I307" s="40"/>
      <c r="J307" s="41"/>
    </row>
    <row r="308">
      <c r="E308" s="38"/>
      <c r="F308" s="39"/>
      <c r="H308" s="39"/>
      <c r="I308" s="40"/>
      <c r="J308" s="41"/>
    </row>
    <row r="309">
      <c r="E309" s="38"/>
      <c r="F309" s="39"/>
      <c r="H309" s="39"/>
      <c r="I309" s="40"/>
      <c r="J309" s="41"/>
    </row>
    <row r="310">
      <c r="E310" s="38"/>
      <c r="F310" s="39"/>
      <c r="H310" s="39"/>
      <c r="I310" s="40"/>
      <c r="J310" s="41"/>
    </row>
    <row r="311">
      <c r="E311" s="38"/>
      <c r="F311" s="39"/>
      <c r="H311" s="39"/>
      <c r="I311" s="40"/>
      <c r="J311" s="41"/>
    </row>
    <row r="312">
      <c r="E312" s="38"/>
      <c r="F312" s="39"/>
      <c r="H312" s="39"/>
      <c r="I312" s="40"/>
      <c r="J312" s="41"/>
    </row>
    <row r="313">
      <c r="E313" s="38"/>
      <c r="F313" s="39"/>
      <c r="H313" s="39"/>
      <c r="I313" s="40"/>
      <c r="J313" s="41"/>
    </row>
    <row r="314">
      <c r="E314" s="38"/>
      <c r="F314" s="39"/>
      <c r="H314" s="39"/>
      <c r="I314" s="40"/>
      <c r="J314" s="41"/>
    </row>
    <row r="315">
      <c r="E315" s="38"/>
      <c r="F315" s="39"/>
      <c r="H315" s="39"/>
      <c r="I315" s="40"/>
      <c r="J315" s="41"/>
    </row>
    <row r="316">
      <c r="E316" s="38"/>
      <c r="F316" s="39"/>
      <c r="H316" s="39"/>
      <c r="I316" s="40"/>
      <c r="J316" s="41"/>
    </row>
    <row r="317">
      <c r="E317" s="38"/>
      <c r="F317" s="39"/>
      <c r="H317" s="39"/>
      <c r="I317" s="40"/>
      <c r="J317" s="41"/>
    </row>
    <row r="318">
      <c r="E318" s="38"/>
      <c r="F318" s="39"/>
      <c r="H318" s="39"/>
      <c r="I318" s="40"/>
      <c r="J318" s="41"/>
    </row>
    <row r="319">
      <c r="E319" s="38"/>
      <c r="F319" s="39"/>
      <c r="H319" s="39"/>
      <c r="I319" s="40"/>
      <c r="J319" s="41"/>
    </row>
    <row r="320">
      <c r="E320" s="38"/>
      <c r="F320" s="39"/>
      <c r="H320" s="39"/>
      <c r="I320" s="40"/>
      <c r="J320" s="41"/>
    </row>
    <row r="321">
      <c r="E321" s="38"/>
      <c r="F321" s="39"/>
      <c r="H321" s="39"/>
      <c r="I321" s="40"/>
      <c r="J321" s="41"/>
    </row>
    <row r="322">
      <c r="E322" s="38"/>
      <c r="F322" s="39"/>
      <c r="H322" s="39"/>
      <c r="I322" s="40"/>
      <c r="J322" s="41"/>
    </row>
    <row r="323">
      <c r="E323" s="38"/>
      <c r="F323" s="39"/>
      <c r="H323" s="39"/>
      <c r="I323" s="40"/>
      <c r="J323" s="41"/>
    </row>
    <row r="324">
      <c r="E324" s="38"/>
      <c r="F324" s="39"/>
      <c r="H324" s="39"/>
      <c r="I324" s="40"/>
      <c r="J324" s="41"/>
    </row>
    <row r="325">
      <c r="E325" s="38"/>
      <c r="F325" s="39"/>
      <c r="H325" s="39"/>
      <c r="I325" s="40"/>
      <c r="J325" s="41"/>
    </row>
    <row r="326">
      <c r="E326" s="38"/>
      <c r="F326" s="39"/>
      <c r="H326" s="39"/>
      <c r="I326" s="40"/>
      <c r="J326" s="41"/>
    </row>
    <row r="327">
      <c r="E327" s="38"/>
      <c r="F327" s="39"/>
      <c r="H327" s="39"/>
      <c r="I327" s="40"/>
      <c r="J327" s="41"/>
    </row>
    <row r="328">
      <c r="E328" s="38"/>
      <c r="F328" s="39"/>
      <c r="H328" s="39"/>
      <c r="I328" s="40"/>
      <c r="J328" s="41"/>
    </row>
    <row r="329">
      <c r="E329" s="38"/>
      <c r="F329" s="39"/>
      <c r="H329" s="39"/>
      <c r="I329" s="40"/>
      <c r="J329" s="41"/>
    </row>
    <row r="330">
      <c r="E330" s="38"/>
      <c r="F330" s="39"/>
      <c r="H330" s="39"/>
      <c r="I330" s="40"/>
      <c r="J330" s="41"/>
    </row>
    <row r="331">
      <c r="E331" s="38"/>
      <c r="F331" s="39"/>
      <c r="H331" s="39"/>
      <c r="I331" s="40"/>
      <c r="J331" s="41"/>
    </row>
    <row r="332">
      <c r="E332" s="38"/>
      <c r="F332" s="39"/>
      <c r="H332" s="39"/>
      <c r="I332" s="40"/>
      <c r="J332" s="41"/>
    </row>
    <row r="333">
      <c r="E333" s="38"/>
      <c r="F333" s="39"/>
      <c r="H333" s="39"/>
      <c r="I333" s="40"/>
      <c r="J333" s="41"/>
    </row>
    <row r="334">
      <c r="E334" s="38"/>
      <c r="F334" s="39"/>
      <c r="H334" s="39"/>
      <c r="I334" s="40"/>
      <c r="J334" s="41"/>
    </row>
    <row r="335">
      <c r="E335" s="38"/>
      <c r="F335" s="39"/>
      <c r="H335" s="39"/>
      <c r="I335" s="40"/>
      <c r="J335" s="41"/>
    </row>
    <row r="336">
      <c r="E336" s="38"/>
      <c r="F336" s="39"/>
      <c r="H336" s="39"/>
      <c r="I336" s="40"/>
      <c r="J336" s="41"/>
    </row>
    <row r="337">
      <c r="E337" s="38"/>
      <c r="F337" s="39"/>
      <c r="H337" s="39"/>
      <c r="I337" s="40"/>
      <c r="J337" s="41"/>
    </row>
    <row r="338">
      <c r="E338" s="38"/>
      <c r="F338" s="39"/>
      <c r="H338" s="39"/>
      <c r="I338" s="40"/>
      <c r="J338" s="41"/>
    </row>
    <row r="339">
      <c r="E339" s="38"/>
      <c r="F339" s="39"/>
      <c r="H339" s="39"/>
      <c r="I339" s="40"/>
      <c r="J339" s="41"/>
    </row>
    <row r="340">
      <c r="E340" s="38"/>
      <c r="F340" s="39"/>
      <c r="H340" s="39"/>
      <c r="I340" s="40"/>
      <c r="J340" s="41"/>
    </row>
    <row r="341">
      <c r="E341" s="38"/>
      <c r="F341" s="39"/>
      <c r="H341" s="39"/>
      <c r="I341" s="40"/>
      <c r="J341" s="41"/>
    </row>
    <row r="342">
      <c r="E342" s="38"/>
      <c r="F342" s="39"/>
      <c r="H342" s="39"/>
      <c r="I342" s="40"/>
      <c r="J342" s="41"/>
    </row>
    <row r="343">
      <c r="E343" s="38"/>
      <c r="F343" s="39"/>
      <c r="H343" s="39"/>
      <c r="I343" s="40"/>
      <c r="J343" s="41"/>
    </row>
    <row r="344">
      <c r="E344" s="38"/>
      <c r="F344" s="39"/>
      <c r="H344" s="39"/>
      <c r="I344" s="40"/>
      <c r="J344" s="41"/>
    </row>
    <row r="345">
      <c r="E345" s="38"/>
      <c r="F345" s="39"/>
      <c r="H345" s="39"/>
      <c r="I345" s="40"/>
      <c r="J345" s="41"/>
    </row>
    <row r="346">
      <c r="E346" s="38"/>
      <c r="F346" s="39"/>
      <c r="H346" s="39"/>
      <c r="I346" s="40"/>
      <c r="J346" s="41"/>
    </row>
    <row r="347">
      <c r="E347" s="38"/>
      <c r="F347" s="39"/>
      <c r="H347" s="39"/>
      <c r="I347" s="40"/>
      <c r="J347" s="41"/>
    </row>
    <row r="348">
      <c r="E348" s="38"/>
      <c r="F348" s="39"/>
      <c r="H348" s="39"/>
      <c r="I348" s="40"/>
      <c r="J348" s="41"/>
    </row>
    <row r="349">
      <c r="E349" s="38"/>
      <c r="F349" s="39"/>
      <c r="H349" s="39"/>
      <c r="I349" s="40"/>
      <c r="J349" s="41"/>
    </row>
    <row r="350">
      <c r="E350" s="38"/>
      <c r="F350" s="39"/>
      <c r="H350" s="39"/>
      <c r="I350" s="40"/>
      <c r="J350" s="41"/>
    </row>
    <row r="351">
      <c r="E351" s="38"/>
      <c r="F351" s="39"/>
      <c r="H351" s="39"/>
      <c r="I351" s="40"/>
      <c r="J351" s="41"/>
    </row>
    <row r="352">
      <c r="E352" s="38"/>
      <c r="F352" s="39"/>
      <c r="H352" s="39"/>
      <c r="I352" s="40"/>
      <c r="J352" s="41"/>
    </row>
    <row r="353">
      <c r="E353" s="38"/>
      <c r="F353" s="39"/>
      <c r="H353" s="39"/>
      <c r="I353" s="40"/>
      <c r="J353" s="41"/>
    </row>
    <row r="354">
      <c r="E354" s="38"/>
      <c r="F354" s="39"/>
      <c r="H354" s="39"/>
      <c r="I354" s="40"/>
      <c r="J354" s="41"/>
    </row>
    <row r="355">
      <c r="E355" s="38"/>
      <c r="F355" s="39"/>
      <c r="H355" s="39"/>
      <c r="I355" s="40"/>
      <c r="J355" s="41"/>
    </row>
    <row r="356">
      <c r="E356" s="38"/>
      <c r="F356" s="39"/>
      <c r="H356" s="39"/>
      <c r="I356" s="40"/>
      <c r="J356" s="41"/>
    </row>
    <row r="357">
      <c r="E357" s="38"/>
      <c r="F357" s="39"/>
      <c r="H357" s="39"/>
      <c r="I357" s="40"/>
      <c r="J357" s="41"/>
    </row>
    <row r="358">
      <c r="E358" s="38"/>
      <c r="F358" s="39"/>
      <c r="H358" s="39"/>
      <c r="I358" s="40"/>
      <c r="J358" s="41"/>
    </row>
    <row r="359">
      <c r="E359" s="38"/>
      <c r="F359" s="39"/>
      <c r="H359" s="39"/>
      <c r="I359" s="40"/>
      <c r="J359" s="41"/>
    </row>
    <row r="360">
      <c r="E360" s="38"/>
      <c r="F360" s="39"/>
      <c r="H360" s="39"/>
      <c r="I360" s="40"/>
      <c r="J360" s="41"/>
    </row>
    <row r="361">
      <c r="E361" s="38"/>
      <c r="F361" s="39"/>
      <c r="H361" s="39"/>
      <c r="I361" s="40"/>
      <c r="J361" s="41"/>
    </row>
    <row r="362">
      <c r="E362" s="38"/>
      <c r="F362" s="39"/>
      <c r="H362" s="39"/>
      <c r="I362" s="40"/>
      <c r="J362" s="41"/>
    </row>
    <row r="363">
      <c r="E363" s="38"/>
      <c r="F363" s="39"/>
      <c r="H363" s="39"/>
      <c r="I363" s="40"/>
      <c r="J363" s="41"/>
    </row>
    <row r="364">
      <c r="E364" s="38"/>
      <c r="F364" s="39"/>
      <c r="H364" s="39"/>
      <c r="I364" s="40"/>
      <c r="J364" s="41"/>
    </row>
    <row r="365">
      <c r="E365" s="38"/>
      <c r="F365" s="39"/>
      <c r="H365" s="39"/>
      <c r="I365" s="40"/>
      <c r="J365" s="41"/>
    </row>
    <row r="366">
      <c r="E366" s="38"/>
      <c r="F366" s="39"/>
      <c r="H366" s="39"/>
      <c r="I366" s="40"/>
      <c r="J366" s="41"/>
    </row>
    <row r="367">
      <c r="E367" s="38"/>
      <c r="F367" s="39"/>
      <c r="H367" s="39"/>
      <c r="I367" s="40"/>
      <c r="J367" s="41"/>
    </row>
    <row r="368">
      <c r="E368" s="38"/>
      <c r="F368" s="39"/>
      <c r="H368" s="39"/>
      <c r="I368" s="40"/>
      <c r="J368" s="41"/>
    </row>
    <row r="369">
      <c r="E369" s="38"/>
      <c r="F369" s="39"/>
      <c r="H369" s="39"/>
      <c r="I369" s="40"/>
      <c r="J369" s="41"/>
    </row>
    <row r="370">
      <c r="E370" s="38"/>
      <c r="F370" s="39"/>
      <c r="H370" s="39"/>
      <c r="I370" s="40"/>
      <c r="J370" s="41"/>
    </row>
    <row r="371">
      <c r="E371" s="38"/>
      <c r="F371" s="39"/>
      <c r="H371" s="39"/>
      <c r="I371" s="40"/>
      <c r="J371" s="41"/>
    </row>
    <row r="372">
      <c r="E372" s="38"/>
      <c r="F372" s="39"/>
      <c r="H372" s="39"/>
      <c r="I372" s="40"/>
      <c r="J372" s="41"/>
    </row>
    <row r="373">
      <c r="E373" s="38"/>
      <c r="F373" s="39"/>
      <c r="H373" s="39"/>
      <c r="I373" s="40"/>
      <c r="J373" s="41"/>
    </row>
    <row r="374">
      <c r="E374" s="38"/>
      <c r="F374" s="39"/>
      <c r="H374" s="39"/>
      <c r="I374" s="40"/>
      <c r="J374" s="41"/>
    </row>
    <row r="375">
      <c r="E375" s="38"/>
      <c r="F375" s="39"/>
      <c r="H375" s="39"/>
      <c r="I375" s="40"/>
      <c r="J375" s="41"/>
    </row>
    <row r="376">
      <c r="E376" s="38"/>
      <c r="F376" s="39"/>
      <c r="H376" s="39"/>
      <c r="I376" s="40"/>
      <c r="J376" s="41"/>
    </row>
    <row r="377">
      <c r="E377" s="38"/>
      <c r="F377" s="39"/>
      <c r="H377" s="39"/>
      <c r="I377" s="40"/>
      <c r="J377" s="41"/>
    </row>
    <row r="378">
      <c r="E378" s="38"/>
      <c r="F378" s="39"/>
      <c r="H378" s="39"/>
      <c r="I378" s="40"/>
      <c r="J378" s="41"/>
    </row>
    <row r="379">
      <c r="E379" s="38"/>
      <c r="F379" s="39"/>
      <c r="H379" s="39"/>
      <c r="I379" s="40"/>
      <c r="J379" s="41"/>
    </row>
    <row r="380">
      <c r="E380" s="38"/>
      <c r="F380" s="39"/>
      <c r="H380" s="39"/>
      <c r="I380" s="40"/>
      <c r="J380" s="41"/>
    </row>
    <row r="381">
      <c r="E381" s="38"/>
      <c r="F381" s="39"/>
      <c r="H381" s="39"/>
      <c r="I381" s="40"/>
      <c r="J381" s="41"/>
    </row>
    <row r="382">
      <c r="E382" s="38"/>
      <c r="F382" s="39"/>
      <c r="H382" s="39"/>
      <c r="I382" s="40"/>
      <c r="J382" s="41"/>
    </row>
    <row r="383">
      <c r="E383" s="38"/>
      <c r="F383" s="39"/>
      <c r="H383" s="39"/>
      <c r="I383" s="40"/>
      <c r="J383" s="41"/>
    </row>
    <row r="384">
      <c r="E384" s="38"/>
      <c r="F384" s="39"/>
      <c r="H384" s="39"/>
      <c r="I384" s="40"/>
      <c r="J384" s="41"/>
    </row>
    <row r="385">
      <c r="E385" s="38"/>
      <c r="F385" s="39"/>
      <c r="H385" s="39"/>
      <c r="I385" s="40"/>
      <c r="J385" s="41"/>
    </row>
    <row r="386">
      <c r="E386" s="38"/>
      <c r="F386" s="39"/>
      <c r="H386" s="39"/>
      <c r="I386" s="40"/>
      <c r="J386" s="41"/>
    </row>
    <row r="387">
      <c r="E387" s="38"/>
      <c r="F387" s="39"/>
      <c r="H387" s="39"/>
      <c r="I387" s="40"/>
      <c r="J387" s="41"/>
    </row>
    <row r="388">
      <c r="E388" s="38"/>
      <c r="F388" s="39"/>
      <c r="H388" s="39"/>
      <c r="I388" s="40"/>
      <c r="J388" s="41"/>
    </row>
    <row r="389">
      <c r="E389" s="38"/>
      <c r="F389" s="39"/>
      <c r="H389" s="39"/>
      <c r="I389" s="40"/>
      <c r="J389" s="41"/>
    </row>
    <row r="390">
      <c r="E390" s="38"/>
      <c r="F390" s="39"/>
      <c r="H390" s="39"/>
      <c r="I390" s="40"/>
      <c r="J390" s="41"/>
    </row>
    <row r="391">
      <c r="E391" s="38"/>
      <c r="F391" s="39"/>
      <c r="H391" s="39"/>
      <c r="I391" s="40"/>
      <c r="J391" s="41"/>
    </row>
    <row r="392">
      <c r="E392" s="38"/>
      <c r="F392" s="39"/>
      <c r="H392" s="39"/>
      <c r="I392" s="40"/>
      <c r="J392" s="41"/>
    </row>
    <row r="393">
      <c r="E393" s="38"/>
      <c r="F393" s="39"/>
      <c r="H393" s="39"/>
      <c r="I393" s="40"/>
      <c r="J393" s="41"/>
    </row>
    <row r="394">
      <c r="E394" s="38"/>
      <c r="F394" s="39"/>
      <c r="H394" s="39"/>
      <c r="I394" s="40"/>
      <c r="J394" s="41"/>
    </row>
    <row r="395">
      <c r="E395" s="38"/>
      <c r="F395" s="39"/>
      <c r="H395" s="39"/>
      <c r="I395" s="40"/>
      <c r="J395" s="41"/>
    </row>
    <row r="396">
      <c r="E396" s="38"/>
      <c r="F396" s="39"/>
      <c r="H396" s="39"/>
      <c r="I396" s="40"/>
      <c r="J396" s="41"/>
    </row>
    <row r="397">
      <c r="E397" s="38"/>
      <c r="F397" s="39"/>
      <c r="H397" s="39"/>
      <c r="I397" s="40"/>
      <c r="J397" s="41"/>
    </row>
    <row r="398">
      <c r="E398" s="38"/>
      <c r="F398" s="39"/>
      <c r="H398" s="39"/>
      <c r="I398" s="40"/>
      <c r="J398" s="41"/>
    </row>
    <row r="399">
      <c r="E399" s="38"/>
      <c r="F399" s="39"/>
      <c r="H399" s="39"/>
      <c r="I399" s="40"/>
      <c r="J399" s="41"/>
    </row>
    <row r="400">
      <c r="E400" s="38"/>
      <c r="F400" s="39"/>
      <c r="H400" s="39"/>
      <c r="I400" s="40"/>
      <c r="J400" s="41"/>
    </row>
    <row r="401">
      <c r="E401" s="38"/>
      <c r="F401" s="39"/>
      <c r="H401" s="39"/>
      <c r="I401" s="40"/>
      <c r="J401" s="41"/>
    </row>
    <row r="402">
      <c r="E402" s="38"/>
      <c r="F402" s="39"/>
      <c r="H402" s="39"/>
      <c r="I402" s="40"/>
      <c r="J402" s="41"/>
    </row>
    <row r="403">
      <c r="E403" s="38"/>
      <c r="F403" s="39"/>
      <c r="H403" s="39"/>
      <c r="I403" s="40"/>
      <c r="J403" s="41"/>
    </row>
    <row r="404">
      <c r="E404" s="38"/>
      <c r="F404" s="39"/>
      <c r="H404" s="39"/>
      <c r="I404" s="40"/>
      <c r="J404" s="41"/>
    </row>
    <row r="405">
      <c r="E405" s="38"/>
      <c r="F405" s="39"/>
      <c r="H405" s="39"/>
      <c r="I405" s="40"/>
      <c r="J405" s="41"/>
    </row>
    <row r="406">
      <c r="E406" s="38"/>
      <c r="F406" s="39"/>
      <c r="H406" s="39"/>
      <c r="I406" s="40"/>
      <c r="J406" s="41"/>
    </row>
    <row r="407">
      <c r="E407" s="38"/>
      <c r="F407" s="39"/>
      <c r="H407" s="39"/>
      <c r="I407" s="40"/>
      <c r="J407" s="41"/>
    </row>
    <row r="408">
      <c r="E408" s="38"/>
      <c r="F408" s="39"/>
      <c r="H408" s="39"/>
      <c r="I408" s="40"/>
      <c r="J408" s="41"/>
    </row>
    <row r="409">
      <c r="E409" s="38"/>
      <c r="F409" s="39"/>
      <c r="H409" s="39"/>
      <c r="I409" s="40"/>
      <c r="J409" s="41"/>
    </row>
    <row r="410">
      <c r="E410" s="38"/>
      <c r="F410" s="39"/>
      <c r="H410" s="39"/>
      <c r="I410" s="40"/>
      <c r="J410" s="41"/>
    </row>
    <row r="411">
      <c r="E411" s="38"/>
      <c r="F411" s="39"/>
      <c r="H411" s="39"/>
      <c r="I411" s="40"/>
      <c r="J411" s="41"/>
    </row>
    <row r="412">
      <c r="E412" s="38"/>
      <c r="F412" s="39"/>
      <c r="H412" s="39"/>
      <c r="I412" s="40"/>
      <c r="J412" s="41"/>
    </row>
    <row r="413">
      <c r="E413" s="38"/>
      <c r="F413" s="39"/>
      <c r="H413" s="39"/>
      <c r="I413" s="40"/>
      <c r="J413" s="41"/>
    </row>
    <row r="414">
      <c r="E414" s="38"/>
      <c r="F414" s="39"/>
      <c r="H414" s="39"/>
      <c r="I414" s="40"/>
      <c r="J414" s="41"/>
    </row>
    <row r="415">
      <c r="E415" s="38"/>
      <c r="F415" s="39"/>
      <c r="H415" s="39"/>
      <c r="I415" s="40"/>
      <c r="J415" s="41"/>
    </row>
    <row r="416">
      <c r="E416" s="38"/>
      <c r="F416" s="39"/>
      <c r="H416" s="39"/>
      <c r="I416" s="40"/>
      <c r="J416" s="41"/>
    </row>
    <row r="417">
      <c r="E417" s="38"/>
      <c r="F417" s="39"/>
      <c r="H417" s="39"/>
      <c r="I417" s="40"/>
      <c r="J417" s="41"/>
    </row>
    <row r="418">
      <c r="E418" s="38"/>
      <c r="F418" s="39"/>
      <c r="H418" s="39"/>
      <c r="I418" s="40"/>
      <c r="J418" s="41"/>
    </row>
    <row r="419">
      <c r="E419" s="38"/>
      <c r="F419" s="39"/>
      <c r="H419" s="39"/>
      <c r="I419" s="40"/>
      <c r="J419" s="41"/>
    </row>
    <row r="420">
      <c r="E420" s="38"/>
      <c r="F420" s="39"/>
      <c r="H420" s="39"/>
      <c r="I420" s="40"/>
      <c r="J420" s="41"/>
    </row>
    <row r="421">
      <c r="E421" s="38"/>
      <c r="F421" s="39"/>
      <c r="H421" s="39"/>
      <c r="I421" s="40"/>
      <c r="J421" s="41"/>
    </row>
    <row r="422">
      <c r="E422" s="38"/>
      <c r="F422" s="39"/>
      <c r="H422" s="39"/>
      <c r="I422" s="40"/>
      <c r="J422" s="41"/>
    </row>
    <row r="423">
      <c r="E423" s="38"/>
      <c r="F423" s="39"/>
      <c r="H423" s="39"/>
      <c r="I423" s="40"/>
      <c r="J423" s="41"/>
    </row>
    <row r="424">
      <c r="E424" s="38"/>
      <c r="F424" s="39"/>
      <c r="H424" s="39"/>
      <c r="I424" s="40"/>
      <c r="J424" s="41"/>
    </row>
    <row r="425">
      <c r="E425" s="38"/>
      <c r="F425" s="39"/>
      <c r="H425" s="39"/>
      <c r="I425" s="40"/>
      <c r="J425" s="41"/>
    </row>
    <row r="426">
      <c r="E426" s="38"/>
      <c r="F426" s="39"/>
      <c r="H426" s="39"/>
      <c r="I426" s="40"/>
      <c r="J426" s="41"/>
    </row>
    <row r="427">
      <c r="E427" s="38"/>
      <c r="F427" s="39"/>
      <c r="H427" s="39"/>
      <c r="I427" s="40"/>
      <c r="J427" s="41"/>
    </row>
    <row r="428">
      <c r="E428" s="38"/>
      <c r="F428" s="39"/>
      <c r="H428" s="39"/>
      <c r="I428" s="40"/>
      <c r="J428" s="41"/>
    </row>
    <row r="429">
      <c r="E429" s="38"/>
      <c r="F429" s="39"/>
      <c r="H429" s="39"/>
      <c r="I429" s="40"/>
      <c r="J429" s="41"/>
    </row>
    <row r="430">
      <c r="E430" s="38"/>
      <c r="F430" s="39"/>
      <c r="H430" s="39"/>
      <c r="I430" s="40"/>
      <c r="J430" s="41"/>
    </row>
    <row r="431">
      <c r="E431" s="38"/>
      <c r="F431" s="39"/>
      <c r="H431" s="39"/>
      <c r="I431" s="40"/>
      <c r="J431" s="41"/>
    </row>
    <row r="432">
      <c r="E432" s="38"/>
      <c r="F432" s="39"/>
      <c r="H432" s="39"/>
      <c r="I432" s="40"/>
      <c r="J432" s="41"/>
    </row>
    <row r="433">
      <c r="E433" s="38"/>
      <c r="F433" s="39"/>
      <c r="H433" s="39"/>
      <c r="I433" s="40"/>
      <c r="J433" s="41"/>
    </row>
    <row r="434">
      <c r="E434" s="38"/>
      <c r="F434" s="39"/>
      <c r="H434" s="39"/>
      <c r="I434" s="40"/>
      <c r="J434" s="41"/>
    </row>
    <row r="435">
      <c r="E435" s="38"/>
      <c r="F435" s="39"/>
      <c r="H435" s="39"/>
      <c r="I435" s="40"/>
      <c r="J435" s="41"/>
    </row>
    <row r="436">
      <c r="E436" s="38"/>
      <c r="F436" s="39"/>
      <c r="H436" s="39"/>
      <c r="I436" s="40"/>
      <c r="J436" s="41"/>
    </row>
    <row r="437">
      <c r="E437" s="38"/>
      <c r="F437" s="39"/>
      <c r="H437" s="39"/>
      <c r="I437" s="40"/>
      <c r="J437" s="41"/>
    </row>
    <row r="438">
      <c r="E438" s="38"/>
      <c r="F438" s="39"/>
      <c r="H438" s="39"/>
      <c r="I438" s="40"/>
      <c r="J438" s="41"/>
    </row>
    <row r="439">
      <c r="E439" s="38"/>
      <c r="F439" s="39"/>
      <c r="H439" s="39"/>
      <c r="I439" s="40"/>
      <c r="J439" s="41"/>
    </row>
    <row r="440">
      <c r="E440" s="38"/>
      <c r="F440" s="39"/>
      <c r="H440" s="39"/>
      <c r="I440" s="40"/>
      <c r="J440" s="41"/>
    </row>
    <row r="441">
      <c r="E441" s="38"/>
      <c r="F441" s="39"/>
      <c r="H441" s="39"/>
      <c r="I441" s="40"/>
      <c r="J441" s="41"/>
    </row>
    <row r="442">
      <c r="E442" s="38"/>
      <c r="F442" s="39"/>
      <c r="H442" s="39"/>
      <c r="I442" s="40"/>
      <c r="J442" s="41"/>
    </row>
    <row r="443">
      <c r="E443" s="38"/>
      <c r="F443" s="39"/>
      <c r="H443" s="39"/>
      <c r="I443" s="40"/>
      <c r="J443" s="41"/>
    </row>
    <row r="444">
      <c r="E444" s="38"/>
      <c r="F444" s="39"/>
      <c r="H444" s="39"/>
      <c r="I444" s="40"/>
      <c r="J444" s="41"/>
    </row>
    <row r="445">
      <c r="E445" s="38"/>
      <c r="F445" s="39"/>
      <c r="H445" s="39"/>
      <c r="I445" s="40"/>
      <c r="J445" s="41"/>
    </row>
    <row r="446">
      <c r="E446" s="38"/>
      <c r="F446" s="39"/>
      <c r="H446" s="39"/>
      <c r="I446" s="40"/>
      <c r="J446" s="41"/>
    </row>
    <row r="447">
      <c r="E447" s="38"/>
      <c r="F447" s="39"/>
      <c r="H447" s="39"/>
      <c r="I447" s="40"/>
      <c r="J447" s="41"/>
    </row>
    <row r="448">
      <c r="E448" s="38"/>
      <c r="F448" s="39"/>
      <c r="H448" s="39"/>
      <c r="I448" s="40"/>
      <c r="J448" s="41"/>
    </row>
    <row r="449">
      <c r="E449" s="38"/>
      <c r="F449" s="39"/>
      <c r="H449" s="39"/>
      <c r="I449" s="40"/>
      <c r="J449" s="41"/>
    </row>
    <row r="450">
      <c r="E450" s="38"/>
      <c r="F450" s="39"/>
      <c r="H450" s="39"/>
      <c r="I450" s="40"/>
      <c r="J450" s="41"/>
    </row>
    <row r="451">
      <c r="E451" s="38"/>
      <c r="F451" s="39"/>
      <c r="H451" s="39"/>
      <c r="I451" s="40"/>
      <c r="J451" s="41"/>
    </row>
    <row r="452">
      <c r="E452" s="38"/>
      <c r="F452" s="39"/>
      <c r="H452" s="39"/>
      <c r="I452" s="40"/>
      <c r="J452" s="41"/>
    </row>
    <row r="453">
      <c r="E453" s="38"/>
      <c r="F453" s="39"/>
      <c r="H453" s="39"/>
      <c r="I453" s="40"/>
      <c r="J453" s="41"/>
    </row>
    <row r="454">
      <c r="E454" s="38"/>
      <c r="F454" s="39"/>
      <c r="H454" s="39"/>
      <c r="I454" s="40"/>
      <c r="J454" s="41"/>
    </row>
    <row r="455">
      <c r="E455" s="38"/>
      <c r="F455" s="39"/>
      <c r="H455" s="39"/>
      <c r="I455" s="40"/>
      <c r="J455" s="41"/>
    </row>
    <row r="456">
      <c r="E456" s="38"/>
      <c r="F456" s="39"/>
      <c r="H456" s="39"/>
      <c r="I456" s="40"/>
      <c r="J456" s="41"/>
    </row>
    <row r="457">
      <c r="E457" s="38"/>
      <c r="F457" s="39"/>
      <c r="H457" s="39"/>
      <c r="I457" s="40"/>
      <c r="J457" s="41"/>
    </row>
    <row r="458">
      <c r="E458" s="38"/>
      <c r="F458" s="39"/>
      <c r="H458" s="39"/>
      <c r="I458" s="40"/>
      <c r="J458" s="41"/>
    </row>
    <row r="459">
      <c r="E459" s="38"/>
      <c r="F459" s="39"/>
      <c r="H459" s="39"/>
      <c r="I459" s="40"/>
      <c r="J459" s="41"/>
    </row>
    <row r="460">
      <c r="E460" s="38"/>
      <c r="F460" s="39"/>
      <c r="H460" s="39"/>
      <c r="I460" s="40"/>
      <c r="J460" s="41"/>
    </row>
    <row r="461">
      <c r="E461" s="38"/>
      <c r="F461" s="39"/>
      <c r="H461" s="39"/>
      <c r="I461" s="40"/>
      <c r="J461" s="41"/>
    </row>
    <row r="462">
      <c r="E462" s="38"/>
      <c r="F462" s="39"/>
      <c r="H462" s="39"/>
      <c r="I462" s="40"/>
      <c r="J462" s="41"/>
    </row>
    <row r="463">
      <c r="E463" s="38"/>
      <c r="F463" s="39"/>
      <c r="H463" s="39"/>
      <c r="I463" s="40"/>
      <c r="J463" s="41"/>
    </row>
    <row r="464">
      <c r="E464" s="38"/>
      <c r="F464" s="39"/>
      <c r="H464" s="39"/>
      <c r="I464" s="40"/>
      <c r="J464" s="41"/>
    </row>
    <row r="465">
      <c r="E465" s="38"/>
      <c r="F465" s="39"/>
      <c r="H465" s="39"/>
      <c r="I465" s="40"/>
      <c r="J465" s="41"/>
    </row>
    <row r="466">
      <c r="E466" s="38"/>
      <c r="F466" s="39"/>
      <c r="H466" s="39"/>
      <c r="I466" s="40"/>
      <c r="J466" s="41"/>
    </row>
    <row r="467">
      <c r="E467" s="38"/>
      <c r="F467" s="39"/>
      <c r="H467" s="39"/>
      <c r="I467" s="40"/>
      <c r="J467" s="41"/>
    </row>
    <row r="468">
      <c r="E468" s="38"/>
      <c r="F468" s="39"/>
      <c r="H468" s="39"/>
      <c r="I468" s="40"/>
      <c r="J468" s="41"/>
    </row>
    <row r="469">
      <c r="E469" s="38"/>
      <c r="F469" s="39"/>
      <c r="H469" s="39"/>
      <c r="I469" s="40"/>
      <c r="J469" s="41"/>
    </row>
    <row r="470">
      <c r="E470" s="38"/>
      <c r="F470" s="39"/>
      <c r="H470" s="39"/>
      <c r="I470" s="40"/>
      <c r="J470" s="41"/>
    </row>
    <row r="471">
      <c r="E471" s="38"/>
      <c r="F471" s="39"/>
      <c r="H471" s="39"/>
      <c r="I471" s="40"/>
      <c r="J471" s="41"/>
    </row>
    <row r="472">
      <c r="E472" s="38"/>
      <c r="F472" s="39"/>
      <c r="H472" s="39"/>
      <c r="I472" s="40"/>
      <c r="J472" s="41"/>
    </row>
    <row r="473">
      <c r="E473" s="38"/>
      <c r="F473" s="39"/>
      <c r="H473" s="39"/>
      <c r="I473" s="40"/>
      <c r="J473" s="41"/>
    </row>
    <row r="474">
      <c r="E474" s="38"/>
      <c r="F474" s="39"/>
      <c r="H474" s="39"/>
      <c r="I474" s="40"/>
      <c r="J474" s="41"/>
    </row>
    <row r="475">
      <c r="E475" s="38"/>
      <c r="F475" s="39"/>
      <c r="H475" s="39"/>
      <c r="I475" s="40"/>
      <c r="J475" s="41"/>
    </row>
    <row r="476">
      <c r="E476" s="38"/>
      <c r="F476" s="39"/>
      <c r="H476" s="39"/>
      <c r="I476" s="40"/>
      <c r="J476" s="41"/>
    </row>
    <row r="477">
      <c r="E477" s="38"/>
      <c r="F477" s="39"/>
      <c r="H477" s="39"/>
      <c r="I477" s="40"/>
      <c r="J477" s="41"/>
    </row>
    <row r="478">
      <c r="E478" s="38"/>
      <c r="F478" s="39"/>
      <c r="H478" s="39"/>
      <c r="I478" s="40"/>
      <c r="J478" s="41"/>
    </row>
    <row r="479">
      <c r="E479" s="38"/>
      <c r="F479" s="39"/>
      <c r="H479" s="39"/>
      <c r="I479" s="40"/>
      <c r="J479" s="41"/>
    </row>
    <row r="480">
      <c r="E480" s="38"/>
      <c r="F480" s="39"/>
      <c r="H480" s="39"/>
      <c r="I480" s="40"/>
      <c r="J480" s="41"/>
    </row>
    <row r="481">
      <c r="E481" s="38"/>
      <c r="F481" s="39"/>
      <c r="H481" s="39"/>
      <c r="I481" s="40"/>
      <c r="J481" s="41"/>
    </row>
    <row r="482">
      <c r="E482" s="38"/>
      <c r="F482" s="39"/>
      <c r="H482" s="39"/>
      <c r="I482" s="40"/>
      <c r="J482" s="41"/>
    </row>
    <row r="483">
      <c r="E483" s="38"/>
      <c r="F483" s="39"/>
      <c r="H483" s="39"/>
      <c r="I483" s="40"/>
      <c r="J483" s="41"/>
    </row>
    <row r="484">
      <c r="E484" s="38"/>
      <c r="F484" s="39"/>
      <c r="H484" s="39"/>
      <c r="I484" s="40"/>
      <c r="J484" s="41"/>
    </row>
    <row r="485">
      <c r="E485" s="38"/>
      <c r="F485" s="39"/>
      <c r="H485" s="39"/>
      <c r="I485" s="40"/>
      <c r="J485" s="41"/>
    </row>
    <row r="486">
      <c r="E486" s="38"/>
      <c r="F486" s="39"/>
      <c r="H486" s="39"/>
      <c r="I486" s="40"/>
      <c r="J486" s="41"/>
    </row>
    <row r="487">
      <c r="E487" s="38"/>
      <c r="F487" s="39"/>
      <c r="H487" s="39"/>
      <c r="I487" s="40"/>
      <c r="J487" s="41"/>
    </row>
    <row r="488">
      <c r="E488" s="38"/>
      <c r="F488" s="39"/>
      <c r="H488" s="39"/>
      <c r="I488" s="40"/>
      <c r="J488" s="41"/>
    </row>
    <row r="489">
      <c r="E489" s="38"/>
      <c r="F489" s="39"/>
      <c r="H489" s="39"/>
      <c r="I489" s="40"/>
      <c r="J489" s="41"/>
    </row>
    <row r="490">
      <c r="E490" s="38"/>
      <c r="F490" s="39"/>
      <c r="H490" s="39"/>
      <c r="I490" s="40"/>
      <c r="J490" s="41"/>
    </row>
    <row r="491">
      <c r="E491" s="38"/>
      <c r="F491" s="39"/>
      <c r="H491" s="39"/>
      <c r="I491" s="40"/>
      <c r="J491" s="41"/>
    </row>
    <row r="492">
      <c r="E492" s="38"/>
      <c r="F492" s="39"/>
      <c r="H492" s="39"/>
      <c r="I492" s="40"/>
      <c r="J492" s="41"/>
    </row>
    <row r="493">
      <c r="E493" s="38"/>
      <c r="F493" s="39"/>
      <c r="H493" s="39"/>
      <c r="I493" s="40"/>
      <c r="J493" s="41"/>
    </row>
    <row r="494">
      <c r="E494" s="38"/>
      <c r="F494" s="39"/>
      <c r="H494" s="39"/>
      <c r="I494" s="40"/>
      <c r="J494" s="41"/>
    </row>
    <row r="495">
      <c r="E495" s="38"/>
      <c r="F495" s="39"/>
      <c r="H495" s="39"/>
      <c r="I495" s="40"/>
      <c r="J495" s="41"/>
    </row>
    <row r="496">
      <c r="E496" s="38"/>
      <c r="F496" s="39"/>
      <c r="H496" s="39"/>
      <c r="I496" s="40"/>
      <c r="J496" s="41"/>
    </row>
    <row r="497">
      <c r="E497" s="38"/>
      <c r="F497" s="39"/>
      <c r="H497" s="39"/>
      <c r="I497" s="40"/>
      <c r="J497" s="41"/>
    </row>
    <row r="498">
      <c r="E498" s="38"/>
      <c r="F498" s="39"/>
      <c r="H498" s="39"/>
      <c r="I498" s="40"/>
      <c r="J498" s="41"/>
    </row>
    <row r="499">
      <c r="E499" s="38"/>
      <c r="F499" s="39"/>
      <c r="H499" s="39"/>
      <c r="I499" s="40"/>
      <c r="J499" s="41"/>
    </row>
    <row r="500">
      <c r="E500" s="38"/>
      <c r="F500" s="39"/>
      <c r="H500" s="39"/>
      <c r="I500" s="40"/>
      <c r="J500" s="41"/>
    </row>
    <row r="501">
      <c r="E501" s="38"/>
      <c r="F501" s="39"/>
      <c r="H501" s="39"/>
      <c r="I501" s="40"/>
      <c r="J501" s="41"/>
    </row>
    <row r="502">
      <c r="E502" s="38"/>
      <c r="F502" s="39"/>
      <c r="H502" s="39"/>
      <c r="I502" s="40"/>
      <c r="J502" s="41"/>
    </row>
    <row r="503">
      <c r="E503" s="38"/>
      <c r="F503" s="39"/>
      <c r="H503" s="39"/>
      <c r="I503" s="40"/>
      <c r="J503" s="41"/>
    </row>
    <row r="504">
      <c r="E504" s="38"/>
      <c r="F504" s="39"/>
      <c r="H504" s="39"/>
      <c r="I504" s="40"/>
      <c r="J504" s="41"/>
    </row>
    <row r="505">
      <c r="E505" s="38"/>
      <c r="F505" s="39"/>
      <c r="H505" s="39"/>
      <c r="I505" s="40"/>
      <c r="J505" s="41"/>
    </row>
    <row r="506">
      <c r="E506" s="38"/>
      <c r="F506" s="39"/>
      <c r="H506" s="39"/>
      <c r="I506" s="40"/>
      <c r="J506" s="41"/>
    </row>
    <row r="507">
      <c r="E507" s="38"/>
      <c r="F507" s="39"/>
      <c r="H507" s="39"/>
      <c r="I507" s="40"/>
      <c r="J507" s="41"/>
    </row>
    <row r="508">
      <c r="E508" s="38"/>
      <c r="F508" s="39"/>
      <c r="H508" s="39"/>
      <c r="I508" s="40"/>
      <c r="J508" s="41"/>
    </row>
    <row r="509">
      <c r="E509" s="38"/>
      <c r="F509" s="39"/>
      <c r="H509" s="39"/>
      <c r="I509" s="40"/>
      <c r="J509" s="41"/>
    </row>
    <row r="510">
      <c r="E510" s="38"/>
      <c r="F510" s="39"/>
      <c r="H510" s="39"/>
      <c r="I510" s="40"/>
      <c r="J510" s="41"/>
    </row>
    <row r="511">
      <c r="E511" s="38"/>
      <c r="F511" s="39"/>
      <c r="H511" s="39"/>
      <c r="I511" s="40"/>
      <c r="J511" s="41"/>
    </row>
    <row r="512">
      <c r="E512" s="38"/>
      <c r="F512" s="39"/>
      <c r="H512" s="39"/>
      <c r="I512" s="40"/>
      <c r="J512" s="41"/>
    </row>
    <row r="513">
      <c r="E513" s="38"/>
      <c r="F513" s="39"/>
      <c r="H513" s="39"/>
      <c r="I513" s="40"/>
      <c r="J513" s="41"/>
    </row>
    <row r="514">
      <c r="E514" s="38"/>
      <c r="F514" s="39"/>
      <c r="H514" s="39"/>
      <c r="I514" s="40"/>
      <c r="J514" s="41"/>
    </row>
    <row r="515">
      <c r="E515" s="38"/>
      <c r="F515" s="39"/>
      <c r="H515" s="39"/>
      <c r="I515" s="40"/>
      <c r="J515" s="41"/>
    </row>
    <row r="516">
      <c r="E516" s="38"/>
      <c r="F516" s="39"/>
      <c r="H516" s="39"/>
      <c r="I516" s="40"/>
      <c r="J516" s="41"/>
    </row>
    <row r="517">
      <c r="E517" s="38"/>
      <c r="F517" s="39"/>
      <c r="H517" s="39"/>
      <c r="I517" s="40"/>
      <c r="J517" s="41"/>
    </row>
    <row r="518">
      <c r="E518" s="38"/>
      <c r="F518" s="39"/>
      <c r="H518" s="39"/>
      <c r="I518" s="40"/>
      <c r="J518" s="41"/>
    </row>
    <row r="519">
      <c r="E519" s="38"/>
      <c r="F519" s="39"/>
      <c r="H519" s="39"/>
      <c r="I519" s="40"/>
      <c r="J519" s="41"/>
    </row>
    <row r="520">
      <c r="E520" s="38"/>
      <c r="F520" s="39"/>
      <c r="H520" s="39"/>
      <c r="I520" s="40"/>
      <c r="J520" s="41"/>
    </row>
    <row r="521">
      <c r="E521" s="38"/>
      <c r="F521" s="39"/>
      <c r="H521" s="39"/>
      <c r="I521" s="40"/>
      <c r="J521" s="41"/>
    </row>
    <row r="522">
      <c r="E522" s="38"/>
      <c r="F522" s="39"/>
      <c r="H522" s="39"/>
      <c r="I522" s="40"/>
      <c r="J522" s="41"/>
    </row>
    <row r="523">
      <c r="E523" s="38"/>
      <c r="F523" s="39"/>
      <c r="H523" s="39"/>
      <c r="I523" s="40"/>
      <c r="J523" s="41"/>
    </row>
    <row r="524">
      <c r="E524" s="38"/>
      <c r="F524" s="39"/>
      <c r="H524" s="39"/>
      <c r="I524" s="40"/>
      <c r="J524" s="41"/>
    </row>
    <row r="525">
      <c r="E525" s="38"/>
      <c r="F525" s="39"/>
      <c r="H525" s="39"/>
      <c r="I525" s="40"/>
      <c r="J525" s="41"/>
    </row>
    <row r="526">
      <c r="E526" s="38"/>
      <c r="F526" s="39"/>
      <c r="H526" s="39"/>
      <c r="I526" s="40"/>
      <c r="J526" s="41"/>
    </row>
    <row r="527">
      <c r="E527" s="38"/>
      <c r="F527" s="39"/>
      <c r="H527" s="39"/>
      <c r="I527" s="40"/>
      <c r="J527" s="41"/>
    </row>
    <row r="528">
      <c r="E528" s="38"/>
      <c r="F528" s="39"/>
      <c r="H528" s="39"/>
      <c r="I528" s="40"/>
      <c r="J528" s="41"/>
    </row>
    <row r="529">
      <c r="E529" s="38"/>
      <c r="F529" s="39"/>
      <c r="H529" s="39"/>
      <c r="I529" s="40"/>
      <c r="J529" s="41"/>
    </row>
    <row r="530">
      <c r="E530" s="38"/>
      <c r="F530" s="39"/>
      <c r="H530" s="39"/>
      <c r="I530" s="40"/>
      <c r="J530" s="41"/>
    </row>
    <row r="531">
      <c r="E531" s="38"/>
      <c r="F531" s="39"/>
      <c r="H531" s="39"/>
      <c r="I531" s="40"/>
      <c r="J531" s="41"/>
    </row>
    <row r="532">
      <c r="E532" s="38"/>
      <c r="F532" s="39"/>
      <c r="H532" s="39"/>
      <c r="I532" s="40"/>
      <c r="J532" s="41"/>
    </row>
    <row r="533">
      <c r="E533" s="38"/>
      <c r="F533" s="39"/>
      <c r="H533" s="39"/>
      <c r="I533" s="40"/>
      <c r="J533" s="41"/>
    </row>
    <row r="534">
      <c r="E534" s="38"/>
      <c r="F534" s="39"/>
      <c r="H534" s="39"/>
      <c r="I534" s="40"/>
      <c r="J534" s="41"/>
    </row>
    <row r="535">
      <c r="E535" s="38"/>
      <c r="F535" s="39"/>
      <c r="H535" s="39"/>
      <c r="I535" s="40"/>
      <c r="J535" s="41"/>
    </row>
    <row r="536">
      <c r="E536" s="38"/>
      <c r="F536" s="39"/>
      <c r="H536" s="39"/>
      <c r="I536" s="40"/>
      <c r="J536" s="41"/>
    </row>
    <row r="537">
      <c r="E537" s="38"/>
      <c r="F537" s="39"/>
      <c r="H537" s="39"/>
      <c r="I537" s="40"/>
      <c r="J537" s="41"/>
    </row>
    <row r="538">
      <c r="E538" s="38"/>
      <c r="F538" s="39"/>
      <c r="H538" s="39"/>
      <c r="I538" s="40"/>
      <c r="J538" s="41"/>
    </row>
    <row r="539">
      <c r="E539" s="38"/>
      <c r="F539" s="39"/>
      <c r="H539" s="39"/>
      <c r="I539" s="40"/>
      <c r="J539" s="41"/>
    </row>
    <row r="540">
      <c r="E540" s="38"/>
      <c r="F540" s="39"/>
      <c r="H540" s="39"/>
      <c r="I540" s="40"/>
      <c r="J540" s="41"/>
    </row>
    <row r="541">
      <c r="E541" s="38"/>
      <c r="F541" s="39"/>
      <c r="H541" s="39"/>
      <c r="I541" s="40"/>
      <c r="J541" s="41"/>
    </row>
    <row r="542">
      <c r="E542" s="38"/>
      <c r="F542" s="39"/>
      <c r="H542" s="39"/>
      <c r="I542" s="40"/>
      <c r="J542" s="41"/>
    </row>
    <row r="543">
      <c r="E543" s="38"/>
      <c r="F543" s="39"/>
      <c r="H543" s="39"/>
      <c r="I543" s="40"/>
      <c r="J543" s="41"/>
    </row>
    <row r="544">
      <c r="E544" s="38"/>
      <c r="F544" s="39"/>
      <c r="H544" s="39"/>
      <c r="I544" s="40"/>
      <c r="J544" s="41"/>
    </row>
    <row r="545">
      <c r="E545" s="38"/>
      <c r="F545" s="39"/>
      <c r="H545" s="39"/>
      <c r="I545" s="40"/>
      <c r="J545" s="41"/>
    </row>
    <row r="546">
      <c r="E546" s="38"/>
      <c r="F546" s="39"/>
      <c r="H546" s="39"/>
      <c r="I546" s="40"/>
      <c r="J546" s="41"/>
    </row>
    <row r="547">
      <c r="E547" s="38"/>
      <c r="F547" s="39"/>
      <c r="H547" s="39"/>
      <c r="I547" s="40"/>
      <c r="J547" s="41"/>
    </row>
    <row r="548">
      <c r="E548" s="38"/>
      <c r="F548" s="39"/>
      <c r="H548" s="39"/>
      <c r="I548" s="40"/>
      <c r="J548" s="41"/>
    </row>
    <row r="549">
      <c r="E549" s="38"/>
      <c r="F549" s="39"/>
      <c r="H549" s="39"/>
      <c r="I549" s="40"/>
      <c r="J549" s="41"/>
    </row>
    <row r="550">
      <c r="E550" s="38"/>
      <c r="F550" s="39"/>
      <c r="H550" s="39"/>
      <c r="I550" s="40"/>
      <c r="J550" s="41"/>
    </row>
    <row r="551">
      <c r="E551" s="38"/>
      <c r="F551" s="39"/>
      <c r="H551" s="39"/>
      <c r="I551" s="40"/>
      <c r="J551" s="41"/>
    </row>
    <row r="552">
      <c r="E552" s="38"/>
      <c r="F552" s="39"/>
      <c r="H552" s="39"/>
      <c r="I552" s="40"/>
      <c r="J552" s="41"/>
    </row>
    <row r="553">
      <c r="E553" s="38"/>
      <c r="F553" s="39"/>
      <c r="H553" s="39"/>
      <c r="I553" s="40"/>
      <c r="J553" s="41"/>
    </row>
    <row r="554">
      <c r="E554" s="38"/>
      <c r="F554" s="39"/>
      <c r="H554" s="39"/>
      <c r="I554" s="40"/>
      <c r="J554" s="41"/>
    </row>
    <row r="555">
      <c r="E555" s="38"/>
      <c r="F555" s="39"/>
      <c r="H555" s="39"/>
      <c r="I555" s="40"/>
      <c r="J555" s="41"/>
    </row>
    <row r="556">
      <c r="E556" s="38"/>
      <c r="F556" s="39"/>
      <c r="H556" s="39"/>
      <c r="I556" s="40"/>
      <c r="J556" s="41"/>
    </row>
    <row r="557">
      <c r="E557" s="38"/>
      <c r="F557" s="39"/>
      <c r="H557" s="39"/>
      <c r="I557" s="40"/>
      <c r="J557" s="41"/>
    </row>
    <row r="558">
      <c r="E558" s="38"/>
      <c r="F558" s="39"/>
      <c r="H558" s="39"/>
      <c r="I558" s="40"/>
      <c r="J558" s="41"/>
    </row>
    <row r="559">
      <c r="E559" s="38"/>
      <c r="F559" s="39"/>
      <c r="H559" s="39"/>
      <c r="I559" s="40"/>
      <c r="J559" s="41"/>
    </row>
    <row r="560">
      <c r="E560" s="38"/>
      <c r="F560" s="39"/>
      <c r="H560" s="39"/>
      <c r="I560" s="40"/>
      <c r="J560" s="41"/>
    </row>
    <row r="561">
      <c r="E561" s="38"/>
      <c r="F561" s="39"/>
      <c r="H561" s="39"/>
      <c r="I561" s="40"/>
      <c r="J561" s="41"/>
    </row>
    <row r="562">
      <c r="E562" s="38"/>
      <c r="F562" s="39"/>
      <c r="H562" s="39"/>
      <c r="I562" s="40"/>
      <c r="J562" s="41"/>
    </row>
    <row r="563">
      <c r="E563" s="38"/>
      <c r="F563" s="39"/>
      <c r="H563" s="39"/>
      <c r="I563" s="40"/>
      <c r="J563" s="41"/>
    </row>
    <row r="564">
      <c r="E564" s="38"/>
      <c r="F564" s="39"/>
      <c r="H564" s="39"/>
      <c r="I564" s="40"/>
      <c r="J564" s="41"/>
    </row>
    <row r="565">
      <c r="E565" s="38"/>
      <c r="F565" s="39"/>
      <c r="H565" s="39"/>
      <c r="I565" s="40"/>
      <c r="J565" s="41"/>
    </row>
    <row r="566">
      <c r="E566" s="38"/>
      <c r="F566" s="39"/>
      <c r="H566" s="39"/>
      <c r="I566" s="40"/>
      <c r="J566" s="41"/>
    </row>
    <row r="567">
      <c r="E567" s="38"/>
      <c r="F567" s="39"/>
      <c r="H567" s="39"/>
      <c r="I567" s="40"/>
      <c r="J567" s="41"/>
    </row>
    <row r="568">
      <c r="E568" s="38"/>
      <c r="F568" s="39"/>
      <c r="H568" s="39"/>
      <c r="I568" s="40"/>
      <c r="J568" s="41"/>
    </row>
    <row r="569">
      <c r="E569" s="38"/>
      <c r="F569" s="39"/>
      <c r="H569" s="39"/>
      <c r="I569" s="40"/>
      <c r="J569" s="41"/>
    </row>
    <row r="570">
      <c r="E570" s="38"/>
      <c r="F570" s="39"/>
      <c r="H570" s="39"/>
      <c r="I570" s="40"/>
      <c r="J570" s="41"/>
    </row>
    <row r="571">
      <c r="E571" s="38"/>
      <c r="F571" s="39"/>
      <c r="H571" s="39"/>
      <c r="I571" s="40"/>
      <c r="J571" s="41"/>
    </row>
    <row r="572">
      <c r="E572" s="38"/>
      <c r="F572" s="39"/>
      <c r="H572" s="39"/>
      <c r="I572" s="40"/>
      <c r="J572" s="41"/>
    </row>
    <row r="573">
      <c r="E573" s="38"/>
      <c r="F573" s="39"/>
      <c r="H573" s="39"/>
      <c r="I573" s="40"/>
      <c r="J573" s="41"/>
    </row>
    <row r="574">
      <c r="E574" s="38"/>
      <c r="F574" s="39"/>
      <c r="H574" s="39"/>
      <c r="I574" s="40"/>
      <c r="J574" s="41"/>
    </row>
    <row r="575">
      <c r="E575" s="38"/>
      <c r="F575" s="39"/>
      <c r="H575" s="39"/>
      <c r="I575" s="40"/>
      <c r="J575" s="41"/>
    </row>
    <row r="576">
      <c r="E576" s="38"/>
      <c r="F576" s="39"/>
      <c r="H576" s="39"/>
      <c r="I576" s="40"/>
      <c r="J576" s="41"/>
    </row>
    <row r="577">
      <c r="E577" s="38"/>
      <c r="F577" s="39"/>
      <c r="H577" s="39"/>
      <c r="I577" s="40"/>
      <c r="J577" s="41"/>
    </row>
    <row r="578">
      <c r="E578" s="38"/>
      <c r="F578" s="39"/>
      <c r="H578" s="39"/>
      <c r="I578" s="40"/>
      <c r="J578" s="41"/>
    </row>
    <row r="579">
      <c r="E579" s="38"/>
      <c r="F579" s="39"/>
      <c r="H579" s="39"/>
      <c r="I579" s="40"/>
      <c r="J579" s="41"/>
    </row>
    <row r="580">
      <c r="E580" s="38"/>
      <c r="F580" s="39"/>
      <c r="H580" s="39"/>
      <c r="I580" s="40"/>
      <c r="J580" s="41"/>
    </row>
    <row r="581">
      <c r="E581" s="38"/>
      <c r="F581" s="39"/>
      <c r="H581" s="39"/>
      <c r="I581" s="40"/>
      <c r="J581" s="41"/>
    </row>
    <row r="582">
      <c r="E582" s="38"/>
      <c r="F582" s="39"/>
      <c r="H582" s="39"/>
      <c r="I582" s="40"/>
      <c r="J582" s="41"/>
    </row>
    <row r="583">
      <c r="E583" s="38"/>
      <c r="F583" s="39"/>
      <c r="H583" s="39"/>
      <c r="I583" s="40"/>
      <c r="J583" s="41"/>
    </row>
    <row r="584">
      <c r="E584" s="38"/>
      <c r="F584" s="39"/>
      <c r="H584" s="39"/>
      <c r="I584" s="40"/>
      <c r="J584" s="41"/>
    </row>
    <row r="585">
      <c r="E585" s="38"/>
      <c r="F585" s="39"/>
      <c r="H585" s="39"/>
      <c r="I585" s="40"/>
      <c r="J585" s="41"/>
    </row>
    <row r="586">
      <c r="E586" s="38"/>
      <c r="F586" s="39"/>
      <c r="H586" s="39"/>
      <c r="I586" s="40"/>
      <c r="J586" s="41"/>
    </row>
    <row r="587">
      <c r="E587" s="38"/>
      <c r="F587" s="39"/>
      <c r="H587" s="39"/>
      <c r="I587" s="40"/>
      <c r="J587" s="41"/>
    </row>
    <row r="588">
      <c r="E588" s="38"/>
      <c r="F588" s="39"/>
      <c r="H588" s="39"/>
      <c r="I588" s="40"/>
      <c r="J588" s="41"/>
    </row>
    <row r="589">
      <c r="E589" s="38"/>
      <c r="F589" s="39"/>
      <c r="H589" s="39"/>
      <c r="I589" s="40"/>
      <c r="J589" s="41"/>
    </row>
    <row r="590">
      <c r="E590" s="38"/>
      <c r="F590" s="39"/>
      <c r="H590" s="39"/>
      <c r="I590" s="40"/>
      <c r="J590" s="41"/>
    </row>
    <row r="591">
      <c r="E591" s="38"/>
      <c r="F591" s="39"/>
      <c r="H591" s="39"/>
      <c r="I591" s="40"/>
      <c r="J591" s="41"/>
    </row>
    <row r="592">
      <c r="E592" s="38"/>
      <c r="F592" s="39"/>
      <c r="H592" s="39"/>
      <c r="I592" s="40"/>
      <c r="J592" s="41"/>
    </row>
    <row r="593">
      <c r="E593" s="38"/>
      <c r="F593" s="39"/>
      <c r="H593" s="39"/>
      <c r="I593" s="40"/>
      <c r="J593" s="41"/>
    </row>
    <row r="594">
      <c r="E594" s="38"/>
      <c r="F594" s="39"/>
      <c r="H594" s="39"/>
      <c r="I594" s="40"/>
      <c r="J594" s="41"/>
    </row>
    <row r="595">
      <c r="E595" s="38"/>
      <c r="F595" s="39"/>
      <c r="H595" s="39"/>
      <c r="I595" s="40"/>
      <c r="J595" s="41"/>
    </row>
    <row r="596">
      <c r="E596" s="38"/>
      <c r="F596" s="39"/>
      <c r="H596" s="39"/>
      <c r="I596" s="40"/>
      <c r="J596" s="41"/>
    </row>
    <row r="597">
      <c r="E597" s="38"/>
      <c r="F597" s="39"/>
      <c r="H597" s="39"/>
      <c r="I597" s="40"/>
      <c r="J597" s="41"/>
    </row>
    <row r="598">
      <c r="E598" s="38"/>
      <c r="F598" s="39"/>
      <c r="H598" s="39"/>
      <c r="I598" s="40"/>
      <c r="J598" s="41"/>
    </row>
    <row r="599">
      <c r="E599" s="38"/>
      <c r="F599" s="39"/>
      <c r="H599" s="39"/>
      <c r="I599" s="40"/>
      <c r="J599" s="41"/>
    </row>
    <row r="600">
      <c r="E600" s="38"/>
      <c r="F600" s="39"/>
      <c r="H600" s="39"/>
      <c r="I600" s="40"/>
      <c r="J600" s="41"/>
    </row>
    <row r="601">
      <c r="E601" s="38"/>
      <c r="F601" s="39"/>
      <c r="H601" s="39"/>
      <c r="I601" s="40"/>
      <c r="J601" s="41"/>
    </row>
    <row r="602">
      <c r="E602" s="38"/>
      <c r="F602" s="39"/>
      <c r="H602" s="39"/>
      <c r="I602" s="40"/>
      <c r="J602" s="41"/>
    </row>
    <row r="603">
      <c r="E603" s="38"/>
      <c r="F603" s="39"/>
      <c r="H603" s="39"/>
      <c r="I603" s="40"/>
      <c r="J603" s="41"/>
    </row>
    <row r="604">
      <c r="E604" s="38"/>
      <c r="F604" s="39"/>
      <c r="H604" s="39"/>
      <c r="I604" s="40"/>
      <c r="J604" s="41"/>
    </row>
    <row r="605">
      <c r="E605" s="38"/>
      <c r="F605" s="39"/>
      <c r="H605" s="39"/>
      <c r="I605" s="40"/>
      <c r="J605" s="41"/>
    </row>
    <row r="606">
      <c r="E606" s="38"/>
      <c r="F606" s="39"/>
      <c r="H606" s="39"/>
      <c r="I606" s="40"/>
      <c r="J606" s="41"/>
    </row>
    <row r="607">
      <c r="E607" s="38"/>
      <c r="F607" s="39"/>
      <c r="H607" s="39"/>
      <c r="I607" s="40"/>
      <c r="J607" s="41"/>
    </row>
    <row r="608">
      <c r="E608" s="38"/>
      <c r="F608" s="39"/>
      <c r="H608" s="39"/>
      <c r="I608" s="40"/>
      <c r="J608" s="41"/>
    </row>
    <row r="609">
      <c r="E609" s="38"/>
      <c r="F609" s="39"/>
      <c r="H609" s="39"/>
      <c r="I609" s="40"/>
      <c r="J609" s="41"/>
    </row>
    <row r="610">
      <c r="E610" s="38"/>
      <c r="F610" s="39"/>
      <c r="H610" s="39"/>
      <c r="I610" s="40"/>
      <c r="J610" s="41"/>
    </row>
    <row r="611">
      <c r="E611" s="38"/>
      <c r="F611" s="39"/>
      <c r="H611" s="39"/>
      <c r="I611" s="40"/>
      <c r="J611" s="41"/>
    </row>
    <row r="612">
      <c r="E612" s="38"/>
      <c r="F612" s="39"/>
      <c r="H612" s="39"/>
      <c r="I612" s="40"/>
      <c r="J612" s="41"/>
    </row>
    <row r="613">
      <c r="E613" s="38"/>
      <c r="F613" s="39"/>
      <c r="H613" s="39"/>
      <c r="I613" s="40"/>
      <c r="J613" s="41"/>
    </row>
    <row r="614">
      <c r="E614" s="38"/>
      <c r="F614" s="39"/>
      <c r="H614" s="39"/>
      <c r="I614" s="40"/>
      <c r="J614" s="41"/>
    </row>
    <row r="615">
      <c r="E615" s="38"/>
      <c r="F615" s="39"/>
      <c r="H615" s="39"/>
      <c r="I615" s="40"/>
      <c r="J615" s="41"/>
    </row>
    <row r="616">
      <c r="E616" s="38"/>
      <c r="F616" s="39"/>
      <c r="H616" s="39"/>
      <c r="I616" s="40"/>
      <c r="J616" s="41"/>
    </row>
    <row r="617">
      <c r="E617" s="38"/>
      <c r="F617" s="39"/>
      <c r="H617" s="39"/>
      <c r="I617" s="40"/>
      <c r="J617" s="41"/>
    </row>
    <row r="618">
      <c r="E618" s="38"/>
      <c r="F618" s="39"/>
      <c r="H618" s="39"/>
      <c r="I618" s="40"/>
      <c r="J618" s="41"/>
    </row>
    <row r="619">
      <c r="E619" s="38"/>
      <c r="F619" s="39"/>
      <c r="H619" s="39"/>
      <c r="I619" s="40"/>
      <c r="J619" s="41"/>
    </row>
    <row r="620">
      <c r="E620" s="38"/>
      <c r="F620" s="39"/>
      <c r="H620" s="39"/>
      <c r="I620" s="40"/>
      <c r="J620" s="41"/>
    </row>
    <row r="621">
      <c r="E621" s="38"/>
      <c r="F621" s="39"/>
      <c r="H621" s="39"/>
      <c r="I621" s="40"/>
      <c r="J621" s="41"/>
    </row>
    <row r="622">
      <c r="E622" s="38"/>
      <c r="F622" s="39"/>
      <c r="H622" s="39"/>
      <c r="I622" s="40"/>
      <c r="J622" s="41"/>
    </row>
    <row r="623">
      <c r="E623" s="38"/>
      <c r="F623" s="39"/>
      <c r="H623" s="39"/>
      <c r="I623" s="40"/>
      <c r="J623" s="41"/>
    </row>
    <row r="624">
      <c r="E624" s="38"/>
      <c r="F624" s="39"/>
      <c r="H624" s="39"/>
      <c r="I624" s="40"/>
      <c r="J624" s="41"/>
    </row>
    <row r="625">
      <c r="E625" s="38"/>
      <c r="F625" s="39"/>
      <c r="H625" s="39"/>
      <c r="I625" s="40"/>
      <c r="J625" s="41"/>
    </row>
    <row r="626">
      <c r="E626" s="38"/>
      <c r="F626" s="39"/>
      <c r="H626" s="39"/>
      <c r="I626" s="40"/>
      <c r="J626" s="41"/>
    </row>
    <row r="627">
      <c r="E627" s="38"/>
      <c r="F627" s="39"/>
      <c r="H627" s="39"/>
      <c r="I627" s="40"/>
      <c r="J627" s="41"/>
    </row>
    <row r="628">
      <c r="E628" s="38"/>
      <c r="F628" s="39"/>
      <c r="H628" s="39"/>
      <c r="I628" s="40"/>
      <c r="J628" s="41"/>
    </row>
    <row r="629">
      <c r="E629" s="38"/>
      <c r="F629" s="39"/>
      <c r="H629" s="39"/>
      <c r="I629" s="40"/>
      <c r="J629" s="41"/>
    </row>
    <row r="630">
      <c r="E630" s="38"/>
      <c r="F630" s="39"/>
      <c r="H630" s="39"/>
      <c r="I630" s="40"/>
      <c r="J630" s="41"/>
    </row>
    <row r="631">
      <c r="E631" s="38"/>
      <c r="F631" s="39"/>
      <c r="H631" s="39"/>
      <c r="I631" s="40"/>
      <c r="J631" s="41"/>
    </row>
    <row r="632">
      <c r="E632" s="38"/>
      <c r="F632" s="39"/>
      <c r="H632" s="39"/>
      <c r="I632" s="40"/>
      <c r="J632" s="41"/>
    </row>
    <row r="633">
      <c r="E633" s="38"/>
      <c r="F633" s="39"/>
      <c r="H633" s="39"/>
      <c r="I633" s="40"/>
      <c r="J633" s="41"/>
    </row>
    <row r="634">
      <c r="E634" s="38"/>
      <c r="F634" s="39"/>
      <c r="H634" s="39"/>
      <c r="I634" s="40"/>
      <c r="J634" s="41"/>
    </row>
    <row r="635">
      <c r="E635" s="38"/>
      <c r="F635" s="39"/>
      <c r="H635" s="39"/>
      <c r="I635" s="40"/>
      <c r="J635" s="41"/>
    </row>
    <row r="636">
      <c r="E636" s="38"/>
      <c r="F636" s="39"/>
      <c r="H636" s="39"/>
      <c r="I636" s="40"/>
      <c r="J636" s="41"/>
    </row>
    <row r="637">
      <c r="E637" s="38"/>
      <c r="F637" s="39"/>
      <c r="H637" s="39"/>
      <c r="I637" s="40"/>
      <c r="J637" s="41"/>
    </row>
    <row r="638">
      <c r="E638" s="38"/>
      <c r="F638" s="39"/>
      <c r="H638" s="39"/>
      <c r="I638" s="40"/>
      <c r="J638" s="41"/>
    </row>
    <row r="639">
      <c r="E639" s="38"/>
      <c r="F639" s="39"/>
      <c r="H639" s="39"/>
      <c r="I639" s="40"/>
      <c r="J639" s="41"/>
    </row>
    <row r="640">
      <c r="E640" s="38"/>
      <c r="F640" s="39"/>
      <c r="H640" s="39"/>
      <c r="I640" s="40"/>
      <c r="J640" s="41"/>
    </row>
    <row r="641">
      <c r="E641" s="38"/>
      <c r="F641" s="39"/>
      <c r="H641" s="39"/>
      <c r="I641" s="40"/>
      <c r="J641" s="41"/>
    </row>
    <row r="642">
      <c r="E642" s="38"/>
      <c r="F642" s="39"/>
      <c r="H642" s="39"/>
      <c r="I642" s="40"/>
      <c r="J642" s="41"/>
    </row>
    <row r="643">
      <c r="E643" s="38"/>
      <c r="F643" s="39"/>
      <c r="H643" s="39"/>
      <c r="I643" s="40"/>
      <c r="J643" s="41"/>
    </row>
    <row r="644">
      <c r="E644" s="38"/>
      <c r="F644" s="39"/>
      <c r="H644" s="39"/>
      <c r="I644" s="40"/>
      <c r="J644" s="41"/>
    </row>
    <row r="645">
      <c r="E645" s="38"/>
      <c r="F645" s="39"/>
      <c r="H645" s="39"/>
      <c r="I645" s="40"/>
      <c r="J645" s="41"/>
    </row>
    <row r="646">
      <c r="E646" s="38"/>
      <c r="F646" s="39"/>
      <c r="H646" s="39"/>
      <c r="I646" s="40"/>
      <c r="J646" s="41"/>
    </row>
    <row r="647">
      <c r="E647" s="38"/>
      <c r="F647" s="39"/>
      <c r="H647" s="39"/>
      <c r="I647" s="40"/>
      <c r="J647" s="41"/>
    </row>
    <row r="648">
      <c r="E648" s="38"/>
      <c r="F648" s="39"/>
      <c r="H648" s="39"/>
      <c r="I648" s="40"/>
      <c r="J648" s="41"/>
    </row>
    <row r="649">
      <c r="E649" s="38"/>
      <c r="F649" s="39"/>
      <c r="H649" s="39"/>
      <c r="I649" s="40"/>
      <c r="J649" s="41"/>
    </row>
    <row r="650">
      <c r="E650" s="38"/>
      <c r="F650" s="39"/>
      <c r="H650" s="39"/>
      <c r="I650" s="40"/>
      <c r="J650" s="41"/>
    </row>
    <row r="651">
      <c r="E651" s="38"/>
      <c r="F651" s="39"/>
      <c r="H651" s="39"/>
      <c r="I651" s="40"/>
      <c r="J651" s="41"/>
    </row>
    <row r="652">
      <c r="E652" s="38"/>
      <c r="F652" s="39"/>
      <c r="H652" s="39"/>
      <c r="I652" s="40"/>
      <c r="J652" s="41"/>
    </row>
    <row r="653">
      <c r="E653" s="38"/>
      <c r="F653" s="39"/>
      <c r="H653" s="39"/>
      <c r="I653" s="40"/>
      <c r="J653" s="41"/>
    </row>
    <row r="654">
      <c r="E654" s="38"/>
      <c r="F654" s="39"/>
      <c r="H654" s="39"/>
      <c r="I654" s="40"/>
      <c r="J654" s="41"/>
    </row>
    <row r="655">
      <c r="E655" s="38"/>
      <c r="F655" s="39"/>
      <c r="H655" s="39"/>
      <c r="I655" s="40"/>
      <c r="J655" s="41"/>
    </row>
    <row r="656">
      <c r="E656" s="38"/>
      <c r="F656" s="39"/>
      <c r="H656" s="39"/>
      <c r="I656" s="40"/>
      <c r="J656" s="41"/>
    </row>
    <row r="657">
      <c r="E657" s="38"/>
      <c r="F657" s="39"/>
      <c r="H657" s="39"/>
      <c r="I657" s="40"/>
      <c r="J657" s="41"/>
    </row>
    <row r="658">
      <c r="E658" s="38"/>
      <c r="F658" s="39"/>
      <c r="H658" s="39"/>
      <c r="I658" s="40"/>
      <c r="J658" s="41"/>
    </row>
    <row r="659">
      <c r="E659" s="38"/>
      <c r="F659" s="39"/>
      <c r="H659" s="39"/>
      <c r="I659" s="40"/>
      <c r="J659" s="41"/>
    </row>
    <row r="660">
      <c r="E660" s="38"/>
      <c r="F660" s="39"/>
      <c r="H660" s="39"/>
      <c r="I660" s="40"/>
      <c r="J660" s="41"/>
    </row>
    <row r="661">
      <c r="E661" s="38"/>
      <c r="F661" s="39"/>
      <c r="H661" s="39"/>
      <c r="I661" s="40"/>
      <c r="J661" s="41"/>
    </row>
    <row r="662">
      <c r="E662" s="38"/>
      <c r="F662" s="39"/>
      <c r="H662" s="39"/>
      <c r="I662" s="40"/>
      <c r="J662" s="41"/>
    </row>
    <row r="663">
      <c r="E663" s="38"/>
      <c r="F663" s="39"/>
      <c r="H663" s="39"/>
      <c r="I663" s="40"/>
      <c r="J663" s="41"/>
    </row>
    <row r="664">
      <c r="E664" s="38"/>
      <c r="F664" s="39"/>
      <c r="H664" s="39"/>
      <c r="I664" s="40"/>
      <c r="J664" s="41"/>
    </row>
    <row r="665">
      <c r="E665" s="38"/>
      <c r="F665" s="39"/>
      <c r="H665" s="39"/>
      <c r="I665" s="40"/>
      <c r="J665" s="41"/>
    </row>
    <row r="666">
      <c r="E666" s="38"/>
      <c r="F666" s="39"/>
      <c r="H666" s="39"/>
      <c r="I666" s="40"/>
      <c r="J666" s="41"/>
    </row>
    <row r="667">
      <c r="E667" s="38"/>
      <c r="F667" s="39"/>
      <c r="H667" s="39"/>
      <c r="I667" s="40"/>
      <c r="J667" s="41"/>
    </row>
    <row r="668">
      <c r="E668" s="38"/>
      <c r="F668" s="39"/>
      <c r="H668" s="39"/>
      <c r="I668" s="40"/>
      <c r="J668" s="41"/>
    </row>
    <row r="669">
      <c r="E669" s="38"/>
      <c r="F669" s="39"/>
      <c r="H669" s="39"/>
      <c r="I669" s="40"/>
      <c r="J669" s="41"/>
    </row>
    <row r="670">
      <c r="E670" s="38"/>
      <c r="F670" s="39"/>
      <c r="H670" s="39"/>
      <c r="I670" s="40"/>
      <c r="J670" s="41"/>
    </row>
    <row r="671">
      <c r="E671" s="38"/>
      <c r="F671" s="39"/>
      <c r="H671" s="39"/>
      <c r="I671" s="40"/>
      <c r="J671" s="41"/>
    </row>
    <row r="672">
      <c r="E672" s="38"/>
      <c r="F672" s="39"/>
      <c r="H672" s="39"/>
      <c r="I672" s="40"/>
      <c r="J672" s="41"/>
    </row>
    <row r="673">
      <c r="E673" s="38"/>
      <c r="F673" s="39"/>
      <c r="H673" s="39"/>
      <c r="I673" s="40"/>
      <c r="J673" s="41"/>
    </row>
    <row r="674">
      <c r="E674" s="38"/>
      <c r="F674" s="39"/>
      <c r="H674" s="39"/>
      <c r="I674" s="40"/>
      <c r="J674" s="41"/>
    </row>
    <row r="675">
      <c r="E675" s="38"/>
      <c r="F675" s="39"/>
      <c r="H675" s="39"/>
      <c r="I675" s="40"/>
      <c r="J675" s="41"/>
    </row>
    <row r="676">
      <c r="E676" s="38"/>
      <c r="F676" s="39"/>
      <c r="H676" s="39"/>
      <c r="I676" s="40"/>
      <c r="J676" s="41"/>
    </row>
    <row r="677">
      <c r="E677" s="38"/>
      <c r="F677" s="39"/>
      <c r="H677" s="39"/>
      <c r="I677" s="40"/>
      <c r="J677" s="41"/>
    </row>
    <row r="678">
      <c r="E678" s="38"/>
      <c r="F678" s="39"/>
      <c r="H678" s="39"/>
      <c r="I678" s="40"/>
      <c r="J678" s="41"/>
    </row>
    <row r="679">
      <c r="E679" s="38"/>
      <c r="F679" s="39"/>
      <c r="H679" s="39"/>
      <c r="I679" s="40"/>
      <c r="J679" s="41"/>
    </row>
    <row r="680">
      <c r="E680" s="38"/>
      <c r="F680" s="39"/>
      <c r="H680" s="39"/>
      <c r="I680" s="40"/>
      <c r="J680" s="41"/>
    </row>
    <row r="681">
      <c r="E681" s="38"/>
      <c r="F681" s="39"/>
      <c r="H681" s="39"/>
      <c r="I681" s="40"/>
      <c r="J681" s="41"/>
    </row>
    <row r="682">
      <c r="E682" s="38"/>
      <c r="F682" s="39"/>
      <c r="H682" s="39"/>
      <c r="I682" s="40"/>
      <c r="J682" s="41"/>
    </row>
    <row r="683">
      <c r="E683" s="38"/>
      <c r="F683" s="39"/>
      <c r="H683" s="39"/>
      <c r="I683" s="40"/>
      <c r="J683" s="41"/>
    </row>
    <row r="684">
      <c r="E684" s="38"/>
      <c r="F684" s="39"/>
      <c r="H684" s="39"/>
      <c r="I684" s="40"/>
      <c r="J684" s="41"/>
    </row>
    <row r="685">
      <c r="E685" s="38"/>
      <c r="F685" s="39"/>
      <c r="H685" s="39"/>
      <c r="I685" s="40"/>
      <c r="J685" s="41"/>
    </row>
    <row r="686">
      <c r="E686" s="38"/>
      <c r="F686" s="39"/>
      <c r="H686" s="39"/>
      <c r="I686" s="40"/>
      <c r="J686" s="41"/>
    </row>
    <row r="687">
      <c r="E687" s="38"/>
      <c r="F687" s="39"/>
      <c r="H687" s="39"/>
      <c r="I687" s="40"/>
      <c r="J687" s="41"/>
    </row>
    <row r="688">
      <c r="E688" s="38"/>
      <c r="F688" s="39"/>
      <c r="H688" s="39"/>
      <c r="I688" s="40"/>
      <c r="J688" s="41"/>
    </row>
    <row r="689">
      <c r="E689" s="38"/>
      <c r="F689" s="39"/>
      <c r="H689" s="39"/>
      <c r="I689" s="40"/>
      <c r="J689" s="41"/>
    </row>
    <row r="690">
      <c r="E690" s="38"/>
      <c r="F690" s="39"/>
      <c r="H690" s="39"/>
      <c r="I690" s="40"/>
      <c r="J690" s="41"/>
    </row>
    <row r="691">
      <c r="E691" s="38"/>
      <c r="F691" s="39"/>
      <c r="H691" s="39"/>
      <c r="I691" s="40"/>
      <c r="J691" s="41"/>
    </row>
    <row r="692">
      <c r="E692" s="38"/>
      <c r="F692" s="39"/>
      <c r="H692" s="39"/>
      <c r="I692" s="40"/>
      <c r="J692" s="41"/>
    </row>
    <row r="693">
      <c r="E693" s="38"/>
      <c r="F693" s="39"/>
      <c r="H693" s="39"/>
      <c r="I693" s="40"/>
      <c r="J693" s="41"/>
    </row>
    <row r="694">
      <c r="E694" s="38"/>
      <c r="F694" s="39"/>
      <c r="H694" s="39"/>
      <c r="I694" s="40"/>
      <c r="J694" s="41"/>
    </row>
    <row r="695">
      <c r="E695" s="38"/>
      <c r="F695" s="39"/>
      <c r="H695" s="39"/>
      <c r="I695" s="40"/>
      <c r="J695" s="41"/>
    </row>
    <row r="696">
      <c r="E696" s="38"/>
      <c r="F696" s="39"/>
      <c r="H696" s="39"/>
      <c r="I696" s="40"/>
      <c r="J696" s="41"/>
    </row>
    <row r="697">
      <c r="E697" s="38"/>
      <c r="F697" s="39"/>
      <c r="H697" s="39"/>
      <c r="I697" s="40"/>
      <c r="J697" s="41"/>
    </row>
    <row r="698">
      <c r="E698" s="38"/>
      <c r="F698" s="39"/>
      <c r="H698" s="39"/>
      <c r="I698" s="40"/>
      <c r="J698" s="41"/>
    </row>
    <row r="699">
      <c r="E699" s="38"/>
      <c r="F699" s="39"/>
      <c r="H699" s="39"/>
      <c r="I699" s="40"/>
      <c r="J699" s="41"/>
    </row>
    <row r="700">
      <c r="E700" s="38"/>
      <c r="F700" s="39"/>
      <c r="H700" s="39"/>
      <c r="I700" s="40"/>
      <c r="J700" s="41"/>
    </row>
    <row r="701">
      <c r="E701" s="38"/>
      <c r="F701" s="39"/>
      <c r="H701" s="39"/>
      <c r="I701" s="40"/>
      <c r="J701" s="41"/>
    </row>
    <row r="702">
      <c r="E702" s="38"/>
      <c r="F702" s="39"/>
      <c r="H702" s="39"/>
      <c r="I702" s="40"/>
      <c r="J702" s="41"/>
    </row>
    <row r="703">
      <c r="E703" s="38"/>
      <c r="F703" s="39"/>
      <c r="H703" s="39"/>
      <c r="I703" s="40"/>
      <c r="J703" s="41"/>
    </row>
    <row r="704">
      <c r="E704" s="38"/>
      <c r="F704" s="39"/>
      <c r="H704" s="39"/>
      <c r="I704" s="40"/>
      <c r="J704" s="41"/>
    </row>
    <row r="705">
      <c r="E705" s="38"/>
      <c r="F705" s="39"/>
      <c r="H705" s="39"/>
      <c r="I705" s="40"/>
      <c r="J705" s="41"/>
    </row>
    <row r="706">
      <c r="E706" s="38"/>
      <c r="F706" s="39"/>
      <c r="H706" s="39"/>
      <c r="I706" s="40"/>
      <c r="J706" s="41"/>
    </row>
    <row r="707">
      <c r="E707" s="38"/>
      <c r="F707" s="39"/>
      <c r="H707" s="39"/>
      <c r="I707" s="40"/>
      <c r="J707" s="41"/>
    </row>
    <row r="708">
      <c r="E708" s="38"/>
      <c r="F708" s="39"/>
      <c r="H708" s="39"/>
      <c r="I708" s="40"/>
      <c r="J708" s="41"/>
    </row>
    <row r="709">
      <c r="E709" s="38"/>
      <c r="F709" s="39"/>
      <c r="H709" s="39"/>
      <c r="I709" s="40"/>
      <c r="J709" s="41"/>
    </row>
    <row r="710">
      <c r="E710" s="38"/>
      <c r="F710" s="39"/>
      <c r="H710" s="39"/>
      <c r="I710" s="40"/>
      <c r="J710" s="41"/>
    </row>
    <row r="711">
      <c r="E711" s="38"/>
      <c r="F711" s="39"/>
      <c r="H711" s="39"/>
      <c r="I711" s="40"/>
      <c r="J711" s="41"/>
    </row>
    <row r="712">
      <c r="E712" s="38"/>
      <c r="F712" s="39"/>
      <c r="H712" s="39"/>
      <c r="I712" s="40"/>
      <c r="J712" s="41"/>
    </row>
    <row r="713">
      <c r="E713" s="38"/>
      <c r="F713" s="39"/>
      <c r="H713" s="39"/>
      <c r="I713" s="40"/>
      <c r="J713" s="41"/>
    </row>
    <row r="714">
      <c r="E714" s="38"/>
      <c r="F714" s="39"/>
      <c r="H714" s="39"/>
      <c r="I714" s="40"/>
      <c r="J714" s="41"/>
    </row>
    <row r="715">
      <c r="E715" s="38"/>
      <c r="F715" s="39"/>
      <c r="H715" s="39"/>
      <c r="I715" s="40"/>
      <c r="J715" s="41"/>
    </row>
    <row r="716">
      <c r="E716" s="38"/>
      <c r="F716" s="39"/>
      <c r="H716" s="39"/>
      <c r="I716" s="40"/>
      <c r="J716" s="41"/>
    </row>
    <row r="717">
      <c r="E717" s="38"/>
      <c r="F717" s="39"/>
      <c r="H717" s="39"/>
      <c r="I717" s="40"/>
      <c r="J717" s="41"/>
    </row>
    <row r="718">
      <c r="E718" s="38"/>
      <c r="F718" s="39"/>
      <c r="H718" s="39"/>
      <c r="I718" s="40"/>
      <c r="J718" s="41"/>
    </row>
    <row r="719">
      <c r="E719" s="38"/>
      <c r="F719" s="39"/>
      <c r="H719" s="39"/>
      <c r="I719" s="40"/>
      <c r="J719" s="41"/>
    </row>
    <row r="720">
      <c r="E720" s="38"/>
      <c r="F720" s="39"/>
      <c r="H720" s="39"/>
      <c r="I720" s="40"/>
      <c r="J720" s="41"/>
    </row>
    <row r="721">
      <c r="E721" s="38"/>
      <c r="F721" s="39"/>
      <c r="H721" s="39"/>
      <c r="I721" s="40"/>
      <c r="J721" s="41"/>
    </row>
    <row r="722">
      <c r="E722" s="38"/>
      <c r="F722" s="39"/>
      <c r="H722" s="39"/>
      <c r="I722" s="40"/>
      <c r="J722" s="41"/>
    </row>
    <row r="723">
      <c r="E723" s="38"/>
      <c r="F723" s="39"/>
      <c r="H723" s="39"/>
      <c r="I723" s="40"/>
      <c r="J723" s="41"/>
    </row>
    <row r="724">
      <c r="E724" s="38"/>
      <c r="F724" s="39"/>
      <c r="H724" s="39"/>
      <c r="I724" s="40"/>
      <c r="J724" s="41"/>
    </row>
    <row r="725">
      <c r="E725" s="38"/>
      <c r="F725" s="39"/>
      <c r="H725" s="39"/>
      <c r="I725" s="40"/>
      <c r="J725" s="41"/>
    </row>
    <row r="726">
      <c r="E726" s="38"/>
      <c r="F726" s="39"/>
      <c r="H726" s="39"/>
      <c r="I726" s="40"/>
      <c r="J726" s="41"/>
    </row>
    <row r="727">
      <c r="E727" s="38"/>
      <c r="F727" s="39"/>
      <c r="H727" s="39"/>
      <c r="I727" s="40"/>
      <c r="J727" s="41"/>
    </row>
    <row r="728">
      <c r="E728" s="38"/>
      <c r="F728" s="39"/>
      <c r="H728" s="39"/>
      <c r="I728" s="40"/>
      <c r="J728" s="41"/>
    </row>
    <row r="729">
      <c r="E729" s="38"/>
      <c r="F729" s="39"/>
      <c r="H729" s="39"/>
      <c r="I729" s="40"/>
      <c r="J729" s="41"/>
    </row>
    <row r="730">
      <c r="E730" s="38"/>
      <c r="F730" s="39"/>
      <c r="H730" s="39"/>
      <c r="I730" s="40"/>
      <c r="J730" s="41"/>
    </row>
    <row r="731">
      <c r="E731" s="38"/>
      <c r="F731" s="39"/>
      <c r="H731" s="39"/>
      <c r="I731" s="40"/>
      <c r="J731" s="41"/>
    </row>
    <row r="732">
      <c r="E732" s="38"/>
      <c r="F732" s="39"/>
      <c r="H732" s="39"/>
      <c r="I732" s="40"/>
      <c r="J732" s="41"/>
    </row>
    <row r="733">
      <c r="E733" s="38"/>
      <c r="F733" s="39"/>
      <c r="H733" s="39"/>
      <c r="I733" s="40"/>
      <c r="J733" s="41"/>
    </row>
    <row r="734">
      <c r="E734" s="38"/>
      <c r="F734" s="39"/>
      <c r="H734" s="39"/>
      <c r="I734" s="40"/>
      <c r="J734" s="41"/>
    </row>
    <row r="735">
      <c r="E735" s="38"/>
      <c r="F735" s="39"/>
      <c r="H735" s="39"/>
      <c r="I735" s="40"/>
      <c r="J735" s="41"/>
    </row>
    <row r="736">
      <c r="E736" s="38"/>
      <c r="F736" s="39"/>
      <c r="H736" s="39"/>
      <c r="I736" s="40"/>
      <c r="J736" s="41"/>
    </row>
    <row r="737">
      <c r="E737" s="38"/>
      <c r="F737" s="39"/>
      <c r="H737" s="39"/>
      <c r="I737" s="40"/>
      <c r="J737" s="41"/>
    </row>
    <row r="738">
      <c r="E738" s="38"/>
      <c r="F738" s="39"/>
      <c r="H738" s="39"/>
      <c r="I738" s="40"/>
      <c r="J738" s="41"/>
    </row>
    <row r="739">
      <c r="E739" s="38"/>
      <c r="F739" s="39"/>
      <c r="H739" s="39"/>
      <c r="I739" s="40"/>
      <c r="J739" s="41"/>
    </row>
    <row r="740">
      <c r="E740" s="38"/>
      <c r="F740" s="39"/>
      <c r="H740" s="39"/>
      <c r="I740" s="40"/>
      <c r="J740" s="41"/>
    </row>
    <row r="741">
      <c r="E741" s="38"/>
      <c r="F741" s="39"/>
      <c r="H741" s="39"/>
      <c r="I741" s="40"/>
      <c r="J741" s="41"/>
    </row>
    <row r="742">
      <c r="E742" s="38"/>
      <c r="F742" s="39"/>
      <c r="H742" s="39"/>
      <c r="I742" s="40"/>
      <c r="J742" s="41"/>
    </row>
    <row r="743">
      <c r="E743" s="38"/>
      <c r="F743" s="39"/>
      <c r="H743" s="39"/>
      <c r="I743" s="40"/>
      <c r="J743" s="41"/>
    </row>
    <row r="744">
      <c r="E744" s="38"/>
      <c r="F744" s="39"/>
      <c r="H744" s="39"/>
      <c r="I744" s="40"/>
      <c r="J744" s="41"/>
    </row>
    <row r="745">
      <c r="E745" s="38"/>
      <c r="F745" s="39"/>
      <c r="H745" s="39"/>
      <c r="I745" s="40"/>
      <c r="J745" s="41"/>
    </row>
    <row r="746">
      <c r="E746" s="38"/>
      <c r="F746" s="39"/>
      <c r="H746" s="39"/>
      <c r="I746" s="40"/>
      <c r="J746" s="41"/>
    </row>
    <row r="747">
      <c r="E747" s="38"/>
      <c r="F747" s="39"/>
      <c r="H747" s="39"/>
      <c r="I747" s="40"/>
      <c r="J747" s="41"/>
    </row>
    <row r="748">
      <c r="E748" s="38"/>
      <c r="F748" s="39"/>
      <c r="H748" s="39"/>
      <c r="I748" s="40"/>
      <c r="J748" s="41"/>
    </row>
    <row r="749">
      <c r="E749" s="38"/>
      <c r="F749" s="39"/>
      <c r="H749" s="39"/>
      <c r="I749" s="40"/>
      <c r="J749" s="41"/>
    </row>
    <row r="750">
      <c r="E750" s="38"/>
      <c r="F750" s="39"/>
      <c r="H750" s="39"/>
      <c r="I750" s="40"/>
      <c r="J750" s="41"/>
    </row>
    <row r="751">
      <c r="E751" s="38"/>
      <c r="F751" s="39"/>
      <c r="H751" s="39"/>
      <c r="I751" s="40"/>
      <c r="J751" s="41"/>
    </row>
    <row r="752">
      <c r="E752" s="38"/>
      <c r="F752" s="39"/>
      <c r="H752" s="39"/>
      <c r="I752" s="40"/>
      <c r="J752" s="41"/>
    </row>
    <row r="753">
      <c r="E753" s="38"/>
      <c r="F753" s="39"/>
      <c r="H753" s="39"/>
      <c r="I753" s="40"/>
      <c r="J753" s="41"/>
    </row>
    <row r="754">
      <c r="E754" s="38"/>
      <c r="F754" s="39"/>
      <c r="H754" s="39"/>
      <c r="I754" s="40"/>
      <c r="J754" s="41"/>
    </row>
    <row r="755">
      <c r="E755" s="38"/>
      <c r="F755" s="39"/>
      <c r="H755" s="39"/>
      <c r="I755" s="40"/>
      <c r="J755" s="41"/>
    </row>
    <row r="756">
      <c r="E756" s="38"/>
      <c r="F756" s="39"/>
      <c r="H756" s="39"/>
      <c r="I756" s="40"/>
      <c r="J756" s="41"/>
    </row>
    <row r="757">
      <c r="E757" s="38"/>
      <c r="F757" s="39"/>
      <c r="H757" s="39"/>
      <c r="I757" s="40"/>
      <c r="J757" s="41"/>
    </row>
    <row r="758">
      <c r="E758" s="38"/>
      <c r="F758" s="39"/>
      <c r="H758" s="39"/>
      <c r="I758" s="40"/>
      <c r="J758" s="41"/>
    </row>
    <row r="759">
      <c r="E759" s="38"/>
      <c r="F759" s="39"/>
      <c r="H759" s="39"/>
      <c r="I759" s="40"/>
      <c r="J759" s="41"/>
    </row>
    <row r="760">
      <c r="E760" s="38"/>
      <c r="F760" s="39"/>
      <c r="H760" s="39"/>
      <c r="I760" s="40"/>
      <c r="J760" s="41"/>
    </row>
    <row r="761">
      <c r="E761" s="38"/>
      <c r="F761" s="39"/>
      <c r="H761" s="39"/>
      <c r="I761" s="40"/>
      <c r="J761" s="41"/>
    </row>
    <row r="762">
      <c r="E762" s="38"/>
      <c r="F762" s="39"/>
      <c r="H762" s="39"/>
      <c r="I762" s="40"/>
      <c r="J762" s="41"/>
    </row>
    <row r="763">
      <c r="E763" s="38"/>
      <c r="F763" s="39"/>
      <c r="H763" s="39"/>
      <c r="I763" s="40"/>
      <c r="J763" s="41"/>
    </row>
    <row r="764">
      <c r="E764" s="38"/>
      <c r="F764" s="39"/>
      <c r="H764" s="39"/>
      <c r="I764" s="40"/>
      <c r="J764" s="41"/>
    </row>
    <row r="765">
      <c r="E765" s="38"/>
      <c r="F765" s="39"/>
      <c r="H765" s="39"/>
      <c r="I765" s="40"/>
      <c r="J765" s="41"/>
    </row>
    <row r="766">
      <c r="E766" s="38"/>
      <c r="F766" s="39"/>
      <c r="H766" s="39"/>
      <c r="I766" s="40"/>
      <c r="J766" s="41"/>
    </row>
    <row r="767">
      <c r="E767" s="38"/>
      <c r="F767" s="39"/>
      <c r="H767" s="39"/>
      <c r="I767" s="40"/>
      <c r="J767" s="41"/>
    </row>
    <row r="768">
      <c r="E768" s="38"/>
      <c r="F768" s="39"/>
      <c r="H768" s="39"/>
      <c r="I768" s="40"/>
      <c r="J768" s="41"/>
    </row>
    <row r="769">
      <c r="E769" s="38"/>
      <c r="F769" s="39"/>
      <c r="H769" s="39"/>
      <c r="I769" s="40"/>
      <c r="J769" s="41"/>
    </row>
    <row r="770">
      <c r="E770" s="38"/>
      <c r="F770" s="39"/>
      <c r="H770" s="39"/>
      <c r="I770" s="40"/>
      <c r="J770" s="41"/>
    </row>
    <row r="771">
      <c r="E771" s="38"/>
      <c r="F771" s="39"/>
      <c r="H771" s="39"/>
      <c r="I771" s="40"/>
      <c r="J771" s="41"/>
    </row>
    <row r="772">
      <c r="E772" s="38"/>
      <c r="F772" s="39"/>
      <c r="H772" s="39"/>
      <c r="I772" s="40"/>
      <c r="J772" s="41"/>
    </row>
    <row r="773">
      <c r="E773" s="38"/>
      <c r="F773" s="39"/>
      <c r="H773" s="39"/>
      <c r="I773" s="40"/>
      <c r="J773" s="41"/>
    </row>
    <row r="774">
      <c r="E774" s="38"/>
      <c r="F774" s="39"/>
      <c r="H774" s="39"/>
      <c r="I774" s="40"/>
      <c r="J774" s="41"/>
    </row>
    <row r="775">
      <c r="E775" s="38"/>
      <c r="F775" s="39"/>
      <c r="H775" s="39"/>
      <c r="I775" s="40"/>
      <c r="J775" s="41"/>
    </row>
    <row r="776">
      <c r="E776" s="38"/>
      <c r="F776" s="39"/>
      <c r="H776" s="39"/>
      <c r="I776" s="40"/>
      <c r="J776" s="41"/>
    </row>
    <row r="777">
      <c r="E777" s="38"/>
      <c r="F777" s="39"/>
      <c r="H777" s="39"/>
      <c r="I777" s="40"/>
      <c r="J777" s="41"/>
    </row>
    <row r="778">
      <c r="E778" s="38"/>
      <c r="F778" s="39"/>
      <c r="H778" s="39"/>
      <c r="I778" s="40"/>
      <c r="J778" s="41"/>
    </row>
    <row r="779">
      <c r="E779" s="38"/>
      <c r="F779" s="39"/>
      <c r="H779" s="39"/>
      <c r="I779" s="40"/>
      <c r="J779" s="41"/>
    </row>
    <row r="780">
      <c r="E780" s="38"/>
      <c r="F780" s="39"/>
      <c r="H780" s="39"/>
      <c r="I780" s="40"/>
      <c r="J780" s="41"/>
    </row>
    <row r="781">
      <c r="E781" s="38"/>
      <c r="F781" s="39"/>
      <c r="H781" s="39"/>
      <c r="I781" s="40"/>
      <c r="J781" s="41"/>
    </row>
    <row r="782">
      <c r="E782" s="38"/>
      <c r="F782" s="39"/>
      <c r="H782" s="39"/>
      <c r="I782" s="40"/>
      <c r="J782" s="41"/>
    </row>
    <row r="783">
      <c r="E783" s="38"/>
      <c r="F783" s="39"/>
      <c r="H783" s="39"/>
      <c r="I783" s="40"/>
      <c r="J783" s="41"/>
    </row>
    <row r="784">
      <c r="E784" s="38"/>
      <c r="F784" s="39"/>
      <c r="H784" s="39"/>
      <c r="I784" s="40"/>
      <c r="J784" s="41"/>
    </row>
    <row r="785">
      <c r="E785" s="38"/>
      <c r="F785" s="39"/>
      <c r="H785" s="39"/>
      <c r="I785" s="40"/>
      <c r="J785" s="41"/>
    </row>
    <row r="786">
      <c r="E786" s="38"/>
      <c r="F786" s="39"/>
      <c r="H786" s="39"/>
      <c r="I786" s="40"/>
      <c r="J786" s="41"/>
    </row>
    <row r="787">
      <c r="E787" s="38"/>
      <c r="F787" s="39"/>
      <c r="H787" s="39"/>
      <c r="I787" s="40"/>
      <c r="J787" s="41"/>
    </row>
    <row r="788">
      <c r="E788" s="38"/>
      <c r="F788" s="39"/>
      <c r="H788" s="39"/>
      <c r="I788" s="40"/>
      <c r="J788" s="41"/>
    </row>
    <row r="789">
      <c r="E789" s="38"/>
      <c r="F789" s="39"/>
      <c r="H789" s="39"/>
      <c r="I789" s="40"/>
      <c r="J789" s="41"/>
    </row>
    <row r="790">
      <c r="E790" s="38"/>
      <c r="F790" s="39"/>
      <c r="H790" s="39"/>
      <c r="I790" s="40"/>
      <c r="J790" s="41"/>
    </row>
    <row r="791">
      <c r="E791" s="38"/>
      <c r="F791" s="39"/>
      <c r="H791" s="39"/>
      <c r="I791" s="40"/>
      <c r="J791" s="41"/>
    </row>
    <row r="792">
      <c r="E792" s="38"/>
      <c r="F792" s="39"/>
      <c r="H792" s="39"/>
      <c r="I792" s="40"/>
      <c r="J792" s="41"/>
    </row>
    <row r="793">
      <c r="E793" s="38"/>
      <c r="F793" s="39"/>
      <c r="H793" s="39"/>
      <c r="I793" s="40"/>
      <c r="J793" s="41"/>
    </row>
    <row r="794">
      <c r="E794" s="38"/>
      <c r="F794" s="39"/>
      <c r="H794" s="39"/>
      <c r="I794" s="40"/>
      <c r="J794" s="41"/>
    </row>
    <row r="795">
      <c r="E795" s="38"/>
      <c r="F795" s="39"/>
      <c r="H795" s="39"/>
      <c r="I795" s="40"/>
      <c r="J795" s="41"/>
    </row>
    <row r="796">
      <c r="E796" s="38"/>
      <c r="F796" s="39"/>
      <c r="H796" s="39"/>
      <c r="I796" s="40"/>
      <c r="J796" s="41"/>
    </row>
    <row r="797">
      <c r="E797" s="38"/>
      <c r="F797" s="39"/>
      <c r="H797" s="39"/>
      <c r="I797" s="40"/>
      <c r="J797" s="41"/>
    </row>
    <row r="798">
      <c r="E798" s="38"/>
      <c r="F798" s="39"/>
      <c r="H798" s="39"/>
      <c r="I798" s="40"/>
      <c r="J798" s="41"/>
    </row>
    <row r="799">
      <c r="E799" s="38"/>
      <c r="F799" s="39"/>
      <c r="H799" s="39"/>
      <c r="I799" s="40"/>
      <c r="J799" s="41"/>
    </row>
    <row r="800">
      <c r="E800" s="38"/>
      <c r="F800" s="39"/>
      <c r="H800" s="39"/>
      <c r="I800" s="40"/>
      <c r="J800" s="41"/>
    </row>
    <row r="801">
      <c r="E801" s="38"/>
      <c r="F801" s="39"/>
      <c r="H801" s="39"/>
      <c r="I801" s="40"/>
      <c r="J801" s="41"/>
    </row>
    <row r="802">
      <c r="E802" s="38"/>
      <c r="F802" s="39"/>
      <c r="H802" s="39"/>
      <c r="I802" s="40"/>
      <c r="J802" s="41"/>
    </row>
    <row r="803">
      <c r="E803" s="38"/>
      <c r="F803" s="39"/>
      <c r="H803" s="39"/>
      <c r="I803" s="40"/>
      <c r="J803" s="41"/>
    </row>
    <row r="804">
      <c r="E804" s="38"/>
      <c r="F804" s="39"/>
      <c r="H804" s="39"/>
      <c r="I804" s="40"/>
      <c r="J804" s="41"/>
    </row>
    <row r="805">
      <c r="E805" s="38"/>
      <c r="F805" s="39"/>
      <c r="H805" s="39"/>
      <c r="I805" s="40"/>
      <c r="J805" s="41"/>
    </row>
    <row r="806">
      <c r="E806" s="38"/>
      <c r="F806" s="39"/>
      <c r="H806" s="39"/>
      <c r="I806" s="40"/>
      <c r="J806" s="41"/>
    </row>
    <row r="807">
      <c r="E807" s="38"/>
      <c r="F807" s="39"/>
      <c r="H807" s="39"/>
      <c r="I807" s="40"/>
      <c r="J807" s="41"/>
    </row>
    <row r="808">
      <c r="E808" s="38"/>
      <c r="F808" s="39"/>
      <c r="H808" s="39"/>
      <c r="I808" s="40"/>
      <c r="J808" s="41"/>
    </row>
    <row r="809">
      <c r="E809" s="38"/>
      <c r="F809" s="39"/>
      <c r="H809" s="39"/>
      <c r="I809" s="40"/>
      <c r="J809" s="41"/>
    </row>
    <row r="810">
      <c r="E810" s="38"/>
      <c r="F810" s="39"/>
      <c r="H810" s="39"/>
      <c r="I810" s="40"/>
      <c r="J810" s="41"/>
    </row>
    <row r="811">
      <c r="E811" s="38"/>
      <c r="F811" s="39"/>
      <c r="H811" s="39"/>
      <c r="I811" s="40"/>
      <c r="J811" s="41"/>
    </row>
    <row r="812">
      <c r="E812" s="38"/>
      <c r="F812" s="39"/>
      <c r="H812" s="39"/>
      <c r="I812" s="40"/>
      <c r="J812" s="41"/>
    </row>
    <row r="813">
      <c r="E813" s="38"/>
      <c r="F813" s="39"/>
      <c r="H813" s="39"/>
      <c r="I813" s="40"/>
      <c r="J813" s="41"/>
    </row>
    <row r="814">
      <c r="E814" s="38"/>
      <c r="F814" s="39"/>
      <c r="H814" s="39"/>
      <c r="I814" s="40"/>
      <c r="J814" s="41"/>
    </row>
    <row r="815">
      <c r="E815" s="38"/>
      <c r="F815" s="39"/>
      <c r="H815" s="39"/>
      <c r="I815" s="40"/>
      <c r="J815" s="41"/>
    </row>
    <row r="816">
      <c r="E816" s="38"/>
      <c r="F816" s="39"/>
      <c r="H816" s="39"/>
      <c r="I816" s="40"/>
      <c r="J816" s="41"/>
    </row>
    <row r="817">
      <c r="E817" s="38"/>
      <c r="F817" s="39"/>
      <c r="H817" s="39"/>
      <c r="I817" s="40"/>
      <c r="J817" s="41"/>
    </row>
    <row r="818">
      <c r="E818" s="38"/>
      <c r="F818" s="39"/>
      <c r="H818" s="39"/>
      <c r="I818" s="40"/>
      <c r="J818" s="41"/>
    </row>
    <row r="819">
      <c r="E819" s="38"/>
      <c r="F819" s="39"/>
      <c r="H819" s="39"/>
      <c r="I819" s="40"/>
      <c r="J819" s="41"/>
    </row>
    <row r="820">
      <c r="E820" s="38"/>
      <c r="F820" s="39"/>
      <c r="H820" s="39"/>
      <c r="I820" s="40"/>
      <c r="J820" s="41"/>
    </row>
    <row r="821">
      <c r="E821" s="38"/>
      <c r="F821" s="39"/>
      <c r="H821" s="39"/>
      <c r="I821" s="40"/>
      <c r="J821" s="41"/>
    </row>
    <row r="822">
      <c r="E822" s="38"/>
      <c r="F822" s="39"/>
      <c r="H822" s="39"/>
      <c r="I822" s="40"/>
      <c r="J822" s="41"/>
    </row>
    <row r="823">
      <c r="E823" s="38"/>
      <c r="F823" s="39"/>
      <c r="H823" s="39"/>
      <c r="I823" s="40"/>
      <c r="J823" s="41"/>
    </row>
    <row r="824">
      <c r="E824" s="38"/>
      <c r="F824" s="39"/>
      <c r="H824" s="39"/>
      <c r="I824" s="40"/>
      <c r="J824" s="41"/>
    </row>
    <row r="825">
      <c r="E825" s="38"/>
      <c r="F825" s="39"/>
      <c r="H825" s="39"/>
      <c r="I825" s="40"/>
      <c r="J825" s="41"/>
    </row>
    <row r="826">
      <c r="E826" s="38"/>
      <c r="F826" s="39"/>
      <c r="H826" s="39"/>
      <c r="I826" s="40"/>
      <c r="J826" s="41"/>
    </row>
    <row r="827">
      <c r="E827" s="38"/>
      <c r="F827" s="39"/>
      <c r="H827" s="39"/>
      <c r="I827" s="40"/>
      <c r="J827" s="41"/>
    </row>
    <row r="828">
      <c r="E828" s="38"/>
      <c r="F828" s="39"/>
      <c r="H828" s="39"/>
      <c r="I828" s="40"/>
      <c r="J828" s="41"/>
    </row>
    <row r="829">
      <c r="E829" s="38"/>
      <c r="F829" s="39"/>
      <c r="H829" s="39"/>
      <c r="I829" s="40"/>
      <c r="J829" s="41"/>
    </row>
    <row r="830">
      <c r="E830" s="38"/>
      <c r="F830" s="39"/>
      <c r="H830" s="39"/>
      <c r="I830" s="40"/>
      <c r="J830" s="41"/>
    </row>
    <row r="831">
      <c r="E831" s="38"/>
      <c r="F831" s="39"/>
      <c r="H831" s="39"/>
      <c r="I831" s="40"/>
      <c r="J831" s="41"/>
    </row>
    <row r="832">
      <c r="E832" s="38"/>
      <c r="F832" s="39"/>
      <c r="H832" s="39"/>
      <c r="I832" s="40"/>
      <c r="J832" s="41"/>
    </row>
    <row r="833">
      <c r="E833" s="38"/>
      <c r="F833" s="39"/>
      <c r="H833" s="39"/>
      <c r="I833" s="40"/>
      <c r="J833" s="41"/>
    </row>
    <row r="834">
      <c r="E834" s="38"/>
      <c r="F834" s="39"/>
      <c r="H834" s="39"/>
      <c r="I834" s="40"/>
      <c r="J834" s="41"/>
    </row>
    <row r="835">
      <c r="E835" s="38"/>
      <c r="F835" s="39"/>
      <c r="H835" s="39"/>
      <c r="I835" s="40"/>
      <c r="J835" s="41"/>
    </row>
    <row r="836">
      <c r="E836" s="38"/>
      <c r="F836" s="39"/>
      <c r="H836" s="39"/>
      <c r="I836" s="40"/>
      <c r="J836" s="41"/>
    </row>
    <row r="837">
      <c r="E837" s="38"/>
      <c r="F837" s="39"/>
      <c r="H837" s="39"/>
      <c r="I837" s="40"/>
      <c r="J837" s="41"/>
    </row>
    <row r="838">
      <c r="E838" s="38"/>
      <c r="F838" s="39"/>
      <c r="H838" s="39"/>
      <c r="I838" s="40"/>
      <c r="J838" s="41"/>
    </row>
    <row r="839">
      <c r="E839" s="38"/>
      <c r="F839" s="39"/>
      <c r="H839" s="39"/>
      <c r="I839" s="40"/>
      <c r="J839" s="41"/>
    </row>
    <row r="840">
      <c r="E840" s="38"/>
      <c r="F840" s="39"/>
      <c r="H840" s="39"/>
      <c r="I840" s="40"/>
      <c r="J840" s="41"/>
    </row>
    <row r="841">
      <c r="E841" s="38"/>
      <c r="F841" s="39"/>
      <c r="H841" s="39"/>
      <c r="I841" s="40"/>
      <c r="J841" s="41"/>
    </row>
    <row r="842">
      <c r="E842" s="38"/>
      <c r="F842" s="39"/>
      <c r="H842" s="39"/>
      <c r="I842" s="40"/>
      <c r="J842" s="41"/>
    </row>
    <row r="843">
      <c r="E843" s="38"/>
      <c r="F843" s="39"/>
      <c r="H843" s="39"/>
      <c r="I843" s="40"/>
      <c r="J843" s="41"/>
    </row>
    <row r="844">
      <c r="E844" s="38"/>
      <c r="F844" s="39"/>
      <c r="H844" s="39"/>
      <c r="I844" s="40"/>
      <c r="J844" s="41"/>
    </row>
    <row r="845">
      <c r="E845" s="38"/>
      <c r="F845" s="39"/>
      <c r="H845" s="39"/>
      <c r="I845" s="40"/>
      <c r="J845" s="41"/>
    </row>
    <row r="846">
      <c r="E846" s="38"/>
      <c r="F846" s="39"/>
      <c r="H846" s="39"/>
      <c r="I846" s="40"/>
      <c r="J846" s="41"/>
    </row>
    <row r="847">
      <c r="E847" s="38"/>
      <c r="F847" s="39"/>
      <c r="H847" s="39"/>
      <c r="I847" s="40"/>
      <c r="J847" s="41"/>
    </row>
    <row r="848">
      <c r="E848" s="38"/>
      <c r="F848" s="39"/>
      <c r="H848" s="39"/>
      <c r="I848" s="40"/>
      <c r="J848" s="41"/>
    </row>
    <row r="849">
      <c r="E849" s="38"/>
      <c r="F849" s="39"/>
      <c r="H849" s="39"/>
      <c r="I849" s="40"/>
      <c r="J849" s="41"/>
    </row>
    <row r="850">
      <c r="E850" s="38"/>
      <c r="F850" s="39"/>
      <c r="H850" s="39"/>
      <c r="I850" s="40"/>
      <c r="J850" s="41"/>
    </row>
    <row r="851">
      <c r="E851" s="38"/>
      <c r="F851" s="39"/>
      <c r="H851" s="39"/>
      <c r="I851" s="40"/>
      <c r="J851" s="41"/>
    </row>
    <row r="852">
      <c r="E852" s="38"/>
      <c r="F852" s="39"/>
      <c r="H852" s="39"/>
      <c r="I852" s="40"/>
      <c r="J852" s="41"/>
    </row>
    <row r="853">
      <c r="E853" s="38"/>
      <c r="F853" s="39"/>
      <c r="H853" s="39"/>
      <c r="I853" s="40"/>
      <c r="J853" s="41"/>
    </row>
    <row r="854">
      <c r="E854" s="38"/>
      <c r="F854" s="39"/>
      <c r="H854" s="39"/>
      <c r="I854" s="40"/>
      <c r="J854" s="41"/>
    </row>
    <row r="855">
      <c r="E855" s="38"/>
      <c r="F855" s="39"/>
      <c r="H855" s="39"/>
      <c r="I855" s="40"/>
      <c r="J855" s="41"/>
    </row>
    <row r="856">
      <c r="E856" s="38"/>
      <c r="F856" s="39"/>
      <c r="H856" s="39"/>
      <c r="I856" s="40"/>
      <c r="J856" s="41"/>
    </row>
    <row r="857">
      <c r="E857" s="38"/>
      <c r="F857" s="39"/>
      <c r="H857" s="39"/>
      <c r="I857" s="40"/>
      <c r="J857" s="41"/>
    </row>
    <row r="858">
      <c r="E858" s="38"/>
      <c r="F858" s="39"/>
      <c r="H858" s="39"/>
      <c r="I858" s="40"/>
      <c r="J858" s="41"/>
    </row>
    <row r="859">
      <c r="E859" s="38"/>
      <c r="F859" s="39"/>
      <c r="H859" s="39"/>
      <c r="I859" s="40"/>
      <c r="J859" s="41"/>
    </row>
    <row r="860">
      <c r="E860" s="38"/>
      <c r="F860" s="39"/>
      <c r="H860" s="39"/>
      <c r="I860" s="40"/>
      <c r="J860" s="41"/>
    </row>
    <row r="861">
      <c r="E861" s="38"/>
      <c r="F861" s="39"/>
      <c r="H861" s="39"/>
      <c r="I861" s="40"/>
      <c r="J861" s="41"/>
    </row>
    <row r="862">
      <c r="E862" s="38"/>
      <c r="F862" s="39"/>
      <c r="H862" s="39"/>
      <c r="I862" s="40"/>
      <c r="J862" s="41"/>
    </row>
    <row r="863">
      <c r="E863" s="38"/>
      <c r="F863" s="39"/>
      <c r="H863" s="39"/>
      <c r="I863" s="40"/>
      <c r="J863" s="41"/>
    </row>
    <row r="864">
      <c r="E864" s="38"/>
      <c r="F864" s="39"/>
      <c r="H864" s="39"/>
      <c r="I864" s="40"/>
      <c r="J864" s="41"/>
    </row>
    <row r="865">
      <c r="E865" s="38"/>
      <c r="F865" s="39"/>
      <c r="H865" s="39"/>
      <c r="I865" s="40"/>
      <c r="J865" s="41"/>
    </row>
    <row r="866">
      <c r="E866" s="38"/>
      <c r="F866" s="39"/>
      <c r="H866" s="39"/>
      <c r="I866" s="40"/>
      <c r="J866" s="41"/>
    </row>
    <row r="867">
      <c r="E867" s="38"/>
      <c r="F867" s="39"/>
      <c r="H867" s="39"/>
      <c r="I867" s="40"/>
      <c r="J867" s="41"/>
    </row>
    <row r="868">
      <c r="E868" s="38"/>
      <c r="F868" s="39"/>
      <c r="H868" s="39"/>
      <c r="I868" s="40"/>
      <c r="J868" s="41"/>
    </row>
    <row r="869">
      <c r="E869" s="38"/>
      <c r="F869" s="39"/>
      <c r="H869" s="39"/>
      <c r="I869" s="40"/>
      <c r="J869" s="41"/>
    </row>
    <row r="870">
      <c r="E870" s="38"/>
      <c r="F870" s="39"/>
      <c r="H870" s="39"/>
      <c r="I870" s="40"/>
      <c r="J870" s="41"/>
    </row>
    <row r="871">
      <c r="E871" s="38"/>
      <c r="F871" s="39"/>
      <c r="H871" s="39"/>
      <c r="I871" s="40"/>
      <c r="J871" s="41"/>
    </row>
    <row r="872">
      <c r="E872" s="38"/>
      <c r="F872" s="39"/>
      <c r="H872" s="39"/>
      <c r="I872" s="40"/>
      <c r="J872" s="41"/>
    </row>
    <row r="873">
      <c r="E873" s="38"/>
      <c r="F873" s="39"/>
      <c r="H873" s="39"/>
      <c r="I873" s="40"/>
      <c r="J873" s="41"/>
    </row>
    <row r="874">
      <c r="E874" s="38"/>
      <c r="F874" s="39"/>
      <c r="H874" s="39"/>
      <c r="I874" s="40"/>
      <c r="J874" s="41"/>
    </row>
    <row r="875">
      <c r="E875" s="38"/>
      <c r="F875" s="39"/>
      <c r="H875" s="39"/>
      <c r="I875" s="40"/>
      <c r="J875" s="41"/>
    </row>
    <row r="876">
      <c r="E876" s="38"/>
      <c r="F876" s="39"/>
      <c r="H876" s="39"/>
      <c r="I876" s="40"/>
      <c r="J876" s="41"/>
    </row>
    <row r="877">
      <c r="E877" s="38"/>
      <c r="F877" s="39"/>
      <c r="H877" s="39"/>
      <c r="I877" s="40"/>
      <c r="J877" s="41"/>
    </row>
    <row r="878">
      <c r="E878" s="38"/>
      <c r="F878" s="39"/>
      <c r="H878" s="39"/>
      <c r="I878" s="40"/>
      <c r="J878" s="41"/>
    </row>
    <row r="879">
      <c r="E879" s="38"/>
      <c r="F879" s="39"/>
      <c r="H879" s="39"/>
      <c r="I879" s="40"/>
      <c r="J879" s="41"/>
    </row>
    <row r="880">
      <c r="E880" s="38"/>
      <c r="F880" s="39"/>
      <c r="H880" s="39"/>
      <c r="I880" s="40"/>
      <c r="J880" s="41"/>
    </row>
    <row r="881">
      <c r="E881" s="38"/>
      <c r="F881" s="39"/>
      <c r="H881" s="39"/>
      <c r="I881" s="40"/>
      <c r="J881" s="41"/>
    </row>
    <row r="882">
      <c r="E882" s="38"/>
      <c r="F882" s="39"/>
      <c r="H882" s="39"/>
      <c r="I882" s="40"/>
      <c r="J882" s="41"/>
    </row>
    <row r="883">
      <c r="E883" s="38"/>
      <c r="F883" s="39"/>
      <c r="H883" s="39"/>
      <c r="I883" s="40"/>
      <c r="J883" s="41"/>
    </row>
    <row r="884">
      <c r="E884" s="38"/>
      <c r="F884" s="39"/>
      <c r="H884" s="39"/>
      <c r="I884" s="40"/>
      <c r="J884" s="41"/>
    </row>
    <row r="885">
      <c r="E885" s="38"/>
      <c r="F885" s="39"/>
      <c r="H885" s="39"/>
      <c r="I885" s="40"/>
      <c r="J885" s="41"/>
    </row>
    <row r="886">
      <c r="E886" s="38"/>
      <c r="F886" s="39"/>
      <c r="H886" s="39"/>
      <c r="I886" s="40"/>
      <c r="J886" s="41"/>
    </row>
    <row r="887">
      <c r="E887" s="38"/>
      <c r="F887" s="39"/>
      <c r="H887" s="39"/>
      <c r="I887" s="40"/>
      <c r="J887" s="41"/>
    </row>
    <row r="888">
      <c r="E888" s="38"/>
      <c r="F888" s="39"/>
      <c r="H888" s="39"/>
      <c r="I888" s="40"/>
      <c r="J888" s="41"/>
    </row>
    <row r="889">
      <c r="E889" s="38"/>
      <c r="F889" s="39"/>
      <c r="H889" s="39"/>
      <c r="I889" s="40"/>
      <c r="J889" s="41"/>
    </row>
    <row r="890">
      <c r="E890" s="38"/>
      <c r="F890" s="39"/>
      <c r="H890" s="39"/>
      <c r="I890" s="40"/>
      <c r="J890" s="41"/>
    </row>
    <row r="891">
      <c r="E891" s="38"/>
      <c r="F891" s="39"/>
      <c r="H891" s="39"/>
      <c r="I891" s="40"/>
      <c r="J891" s="41"/>
    </row>
    <row r="892">
      <c r="E892" s="38"/>
      <c r="F892" s="39"/>
      <c r="H892" s="39"/>
      <c r="I892" s="40"/>
      <c r="J892" s="41"/>
    </row>
    <row r="893">
      <c r="E893" s="38"/>
      <c r="F893" s="39"/>
      <c r="H893" s="39"/>
      <c r="I893" s="40"/>
      <c r="J893" s="41"/>
    </row>
    <row r="894">
      <c r="E894" s="38"/>
      <c r="F894" s="39"/>
      <c r="H894" s="39"/>
      <c r="I894" s="40"/>
      <c r="J894" s="41"/>
    </row>
    <row r="895">
      <c r="E895" s="38"/>
      <c r="F895" s="39"/>
      <c r="H895" s="39"/>
      <c r="I895" s="40"/>
      <c r="J895" s="41"/>
    </row>
    <row r="896">
      <c r="E896" s="38"/>
      <c r="F896" s="39"/>
      <c r="H896" s="39"/>
      <c r="I896" s="40"/>
      <c r="J896" s="41"/>
    </row>
    <row r="897">
      <c r="E897" s="38"/>
      <c r="F897" s="39"/>
      <c r="H897" s="39"/>
      <c r="I897" s="40"/>
      <c r="J897" s="41"/>
    </row>
    <row r="898">
      <c r="E898" s="38"/>
      <c r="F898" s="39"/>
      <c r="H898" s="39"/>
      <c r="I898" s="40"/>
      <c r="J898" s="41"/>
    </row>
    <row r="899">
      <c r="E899" s="38"/>
      <c r="F899" s="39"/>
      <c r="H899" s="39"/>
      <c r="I899" s="40"/>
      <c r="J899" s="41"/>
    </row>
    <row r="900">
      <c r="E900" s="38"/>
      <c r="F900" s="39"/>
      <c r="H900" s="39"/>
      <c r="I900" s="40"/>
      <c r="J900" s="41"/>
    </row>
    <row r="901">
      <c r="E901" s="38"/>
      <c r="F901" s="39"/>
      <c r="H901" s="39"/>
      <c r="I901" s="40"/>
      <c r="J901" s="41"/>
    </row>
    <row r="902">
      <c r="E902" s="38"/>
      <c r="F902" s="39"/>
      <c r="H902" s="39"/>
      <c r="I902" s="40"/>
      <c r="J902" s="41"/>
    </row>
    <row r="903">
      <c r="E903" s="38"/>
      <c r="F903" s="39"/>
      <c r="H903" s="39"/>
      <c r="I903" s="40"/>
      <c r="J903" s="41"/>
    </row>
    <row r="904">
      <c r="E904" s="38"/>
      <c r="F904" s="39"/>
      <c r="H904" s="39"/>
      <c r="I904" s="40"/>
      <c r="J904" s="41"/>
    </row>
    <row r="905">
      <c r="E905" s="38"/>
      <c r="F905" s="39"/>
      <c r="H905" s="39"/>
      <c r="I905" s="40"/>
      <c r="J905" s="41"/>
    </row>
    <row r="906">
      <c r="E906" s="38"/>
      <c r="F906" s="39"/>
      <c r="H906" s="39"/>
      <c r="I906" s="40"/>
      <c r="J906" s="41"/>
    </row>
    <row r="907">
      <c r="E907" s="38"/>
      <c r="F907" s="39"/>
      <c r="H907" s="39"/>
      <c r="I907" s="40"/>
      <c r="J907" s="41"/>
    </row>
    <row r="908">
      <c r="E908" s="38"/>
      <c r="F908" s="39"/>
      <c r="H908" s="39"/>
      <c r="I908" s="40"/>
      <c r="J908" s="41"/>
    </row>
    <row r="909">
      <c r="E909" s="38"/>
      <c r="F909" s="39"/>
      <c r="H909" s="39"/>
      <c r="I909" s="40"/>
      <c r="J909" s="41"/>
    </row>
    <row r="910">
      <c r="E910" s="38"/>
      <c r="F910" s="39"/>
      <c r="H910" s="39"/>
      <c r="I910" s="40"/>
      <c r="J910" s="41"/>
    </row>
    <row r="911">
      <c r="E911" s="38"/>
      <c r="F911" s="39"/>
      <c r="H911" s="39"/>
      <c r="I911" s="40"/>
      <c r="J911" s="41"/>
    </row>
    <row r="912">
      <c r="E912" s="38"/>
      <c r="F912" s="39"/>
      <c r="H912" s="39"/>
      <c r="I912" s="40"/>
      <c r="J912" s="41"/>
    </row>
    <row r="913">
      <c r="E913" s="38"/>
      <c r="F913" s="39"/>
      <c r="H913" s="39"/>
      <c r="I913" s="40"/>
      <c r="J913" s="41"/>
    </row>
    <row r="914">
      <c r="E914" s="38"/>
      <c r="F914" s="39"/>
      <c r="H914" s="39"/>
      <c r="I914" s="40"/>
      <c r="J914" s="41"/>
    </row>
    <row r="915">
      <c r="E915" s="38"/>
      <c r="F915" s="39"/>
      <c r="H915" s="39"/>
      <c r="I915" s="40"/>
      <c r="J915" s="41"/>
    </row>
    <row r="916">
      <c r="E916" s="38"/>
      <c r="F916" s="39"/>
      <c r="H916" s="39"/>
      <c r="I916" s="40"/>
      <c r="J916" s="41"/>
    </row>
    <row r="917">
      <c r="E917" s="38"/>
      <c r="F917" s="39"/>
      <c r="H917" s="39"/>
      <c r="I917" s="40"/>
      <c r="J917" s="41"/>
    </row>
    <row r="918">
      <c r="E918" s="38"/>
      <c r="F918" s="39"/>
      <c r="H918" s="39"/>
      <c r="I918" s="40"/>
      <c r="J918" s="41"/>
    </row>
    <row r="919">
      <c r="E919" s="38"/>
      <c r="F919" s="39"/>
      <c r="H919" s="39"/>
      <c r="I919" s="40"/>
      <c r="J919" s="41"/>
    </row>
    <row r="920">
      <c r="E920" s="38"/>
      <c r="F920" s="39"/>
      <c r="H920" s="39"/>
      <c r="I920" s="40"/>
      <c r="J920" s="41"/>
    </row>
    <row r="921">
      <c r="E921" s="38"/>
      <c r="F921" s="39"/>
      <c r="H921" s="39"/>
      <c r="I921" s="40"/>
      <c r="J921" s="41"/>
    </row>
    <row r="922">
      <c r="E922" s="38"/>
      <c r="F922" s="39"/>
      <c r="H922" s="39"/>
      <c r="I922" s="40"/>
      <c r="J922" s="41"/>
    </row>
    <row r="923">
      <c r="E923" s="38"/>
      <c r="F923" s="39"/>
      <c r="H923" s="39"/>
      <c r="I923" s="40"/>
      <c r="J923" s="41"/>
    </row>
    <row r="924">
      <c r="E924" s="38"/>
      <c r="F924" s="39"/>
      <c r="H924" s="39"/>
      <c r="I924" s="40"/>
      <c r="J924" s="41"/>
    </row>
    <row r="925">
      <c r="E925" s="38"/>
      <c r="F925" s="39"/>
      <c r="H925" s="39"/>
      <c r="I925" s="40"/>
      <c r="J925" s="41"/>
    </row>
    <row r="926">
      <c r="E926" s="38"/>
      <c r="F926" s="39"/>
      <c r="H926" s="39"/>
      <c r="I926" s="40"/>
      <c r="J926" s="41"/>
    </row>
    <row r="927">
      <c r="E927" s="38"/>
      <c r="F927" s="39"/>
      <c r="H927" s="39"/>
      <c r="I927" s="40"/>
      <c r="J927" s="41"/>
    </row>
    <row r="928">
      <c r="E928" s="38"/>
      <c r="F928" s="39"/>
      <c r="H928" s="39"/>
      <c r="I928" s="40"/>
      <c r="J928" s="41"/>
    </row>
    <row r="929">
      <c r="E929" s="38"/>
      <c r="F929" s="39"/>
      <c r="H929" s="39"/>
      <c r="I929" s="40"/>
      <c r="J929" s="41"/>
    </row>
    <row r="930">
      <c r="E930" s="38"/>
      <c r="F930" s="39"/>
      <c r="H930" s="39"/>
      <c r="I930" s="40"/>
      <c r="J930" s="41"/>
    </row>
    <row r="931">
      <c r="E931" s="38"/>
      <c r="F931" s="39"/>
      <c r="H931" s="39"/>
      <c r="I931" s="40"/>
      <c r="J931" s="41"/>
    </row>
    <row r="932">
      <c r="E932" s="38"/>
      <c r="F932" s="39"/>
      <c r="H932" s="39"/>
      <c r="I932" s="40"/>
      <c r="J932" s="41"/>
    </row>
    <row r="933">
      <c r="E933" s="38"/>
      <c r="F933" s="39"/>
      <c r="H933" s="39"/>
      <c r="I933" s="40"/>
      <c r="J933" s="41"/>
    </row>
    <row r="934">
      <c r="E934" s="38"/>
      <c r="F934" s="39"/>
      <c r="H934" s="39"/>
      <c r="I934" s="40"/>
      <c r="J934" s="41"/>
    </row>
    <row r="935">
      <c r="E935" s="38"/>
      <c r="F935" s="39"/>
      <c r="H935" s="39"/>
      <c r="I935" s="40"/>
      <c r="J935" s="41"/>
    </row>
    <row r="936">
      <c r="E936" s="38"/>
      <c r="F936" s="39"/>
      <c r="H936" s="39"/>
      <c r="I936" s="40"/>
      <c r="J936" s="41"/>
    </row>
    <row r="937">
      <c r="E937" s="38"/>
      <c r="F937" s="39"/>
      <c r="H937" s="39"/>
      <c r="I937" s="40"/>
      <c r="J937" s="41"/>
    </row>
    <row r="938">
      <c r="E938" s="38"/>
      <c r="F938" s="39"/>
      <c r="H938" s="39"/>
      <c r="I938" s="40"/>
      <c r="J938" s="41"/>
    </row>
    <row r="939">
      <c r="E939" s="38"/>
      <c r="F939" s="39"/>
      <c r="H939" s="39"/>
      <c r="I939" s="40"/>
      <c r="J939" s="41"/>
    </row>
    <row r="940">
      <c r="E940" s="38"/>
      <c r="F940" s="39"/>
      <c r="H940" s="39"/>
      <c r="I940" s="40"/>
      <c r="J940" s="41"/>
    </row>
    <row r="941">
      <c r="E941" s="38"/>
      <c r="F941" s="39"/>
      <c r="H941" s="39"/>
      <c r="I941" s="40"/>
      <c r="J941" s="41"/>
    </row>
    <row r="942">
      <c r="E942" s="38"/>
      <c r="F942" s="39"/>
      <c r="H942" s="39"/>
      <c r="I942" s="40"/>
      <c r="J942" s="41"/>
    </row>
    <row r="943">
      <c r="E943" s="38"/>
      <c r="F943" s="39"/>
      <c r="H943" s="39"/>
      <c r="I943" s="40"/>
      <c r="J943" s="41"/>
    </row>
    <row r="944">
      <c r="E944" s="38"/>
      <c r="F944" s="39"/>
      <c r="H944" s="39"/>
      <c r="I944" s="40"/>
      <c r="J944" s="41"/>
    </row>
    <row r="945">
      <c r="E945" s="38"/>
      <c r="F945" s="39"/>
      <c r="H945" s="39"/>
      <c r="I945" s="40"/>
      <c r="J945" s="41"/>
    </row>
    <row r="946">
      <c r="E946" s="38"/>
      <c r="F946" s="39"/>
      <c r="H946" s="39"/>
      <c r="I946" s="40"/>
      <c r="J946" s="41"/>
    </row>
    <row r="947">
      <c r="E947" s="38"/>
      <c r="F947" s="39"/>
      <c r="H947" s="39"/>
      <c r="I947" s="40"/>
      <c r="J947" s="41"/>
    </row>
    <row r="948">
      <c r="E948" s="38"/>
      <c r="F948" s="39"/>
      <c r="H948" s="39"/>
      <c r="I948" s="40"/>
      <c r="J948" s="41"/>
    </row>
    <row r="949">
      <c r="E949" s="38"/>
      <c r="F949" s="39"/>
      <c r="H949" s="39"/>
      <c r="I949" s="40"/>
      <c r="J949" s="41"/>
    </row>
    <row r="950">
      <c r="E950" s="38"/>
      <c r="F950" s="39"/>
      <c r="H950" s="39"/>
      <c r="I950" s="40"/>
      <c r="J950" s="41"/>
    </row>
    <row r="951">
      <c r="E951" s="38"/>
      <c r="F951" s="39"/>
      <c r="H951" s="39"/>
      <c r="I951" s="40"/>
      <c r="J951" s="41"/>
    </row>
    <row r="952">
      <c r="E952" s="38"/>
      <c r="F952" s="39"/>
      <c r="H952" s="39"/>
      <c r="I952" s="40"/>
      <c r="J952" s="41"/>
    </row>
    <row r="953">
      <c r="E953" s="38"/>
      <c r="F953" s="39"/>
      <c r="H953" s="39"/>
      <c r="I953" s="40"/>
      <c r="J953" s="41"/>
    </row>
    <row r="954">
      <c r="E954" s="38"/>
      <c r="F954" s="39"/>
      <c r="H954" s="39"/>
      <c r="I954" s="40"/>
      <c r="J954" s="41"/>
    </row>
    <row r="955">
      <c r="E955" s="38"/>
      <c r="F955" s="39"/>
      <c r="H955" s="39"/>
      <c r="I955" s="40"/>
      <c r="J955" s="41"/>
    </row>
    <row r="956">
      <c r="E956" s="38"/>
      <c r="F956" s="39"/>
      <c r="H956" s="39"/>
      <c r="I956" s="40"/>
      <c r="J956" s="41"/>
    </row>
    <row r="957">
      <c r="E957" s="38"/>
      <c r="F957" s="39"/>
      <c r="H957" s="39"/>
      <c r="I957" s="40"/>
      <c r="J957" s="41"/>
    </row>
    <row r="958">
      <c r="E958" s="38"/>
      <c r="F958" s="39"/>
      <c r="H958" s="39"/>
      <c r="I958" s="40"/>
      <c r="J958" s="41"/>
    </row>
    <row r="959">
      <c r="E959" s="38"/>
      <c r="F959" s="39"/>
      <c r="H959" s="39"/>
      <c r="I959" s="40"/>
      <c r="J959" s="41"/>
    </row>
    <row r="960">
      <c r="E960" s="38"/>
      <c r="F960" s="39"/>
      <c r="H960" s="39"/>
      <c r="I960" s="40"/>
      <c r="J960" s="41"/>
    </row>
    <row r="961">
      <c r="E961" s="38"/>
      <c r="F961" s="39"/>
      <c r="H961" s="39"/>
      <c r="I961" s="40"/>
      <c r="J961" s="41"/>
    </row>
    <row r="962">
      <c r="E962" s="38"/>
      <c r="F962" s="39"/>
      <c r="H962" s="39"/>
      <c r="I962" s="40"/>
      <c r="J962" s="41"/>
    </row>
    <row r="963">
      <c r="E963" s="38"/>
      <c r="F963" s="39"/>
      <c r="H963" s="39"/>
      <c r="I963" s="40"/>
      <c r="J963" s="41"/>
    </row>
    <row r="964">
      <c r="E964" s="38"/>
      <c r="F964" s="39"/>
      <c r="H964" s="39"/>
      <c r="I964" s="40"/>
      <c r="J964" s="41"/>
    </row>
    <row r="965">
      <c r="E965" s="38"/>
      <c r="F965" s="39"/>
      <c r="H965" s="39"/>
      <c r="I965" s="40"/>
      <c r="J965" s="41"/>
    </row>
    <row r="966">
      <c r="E966" s="38"/>
      <c r="F966" s="39"/>
      <c r="H966" s="39"/>
      <c r="I966" s="40"/>
      <c r="J966" s="41"/>
    </row>
    <row r="967">
      <c r="E967" s="38"/>
      <c r="F967" s="39"/>
      <c r="H967" s="39"/>
      <c r="I967" s="40"/>
      <c r="J967" s="41"/>
    </row>
    <row r="968">
      <c r="E968" s="38"/>
      <c r="F968" s="39"/>
      <c r="H968" s="39"/>
      <c r="I968" s="40"/>
      <c r="J968" s="41"/>
    </row>
    <row r="969">
      <c r="E969" s="38"/>
      <c r="F969" s="39"/>
      <c r="H969" s="39"/>
      <c r="I969" s="40"/>
      <c r="J969" s="41"/>
    </row>
    <row r="970">
      <c r="E970" s="38"/>
      <c r="F970" s="39"/>
      <c r="H970" s="39"/>
      <c r="I970" s="40"/>
      <c r="J970" s="41"/>
    </row>
    <row r="971">
      <c r="E971" s="38"/>
      <c r="F971" s="39"/>
      <c r="H971" s="39"/>
      <c r="I971" s="40"/>
      <c r="J971" s="41"/>
    </row>
    <row r="972">
      <c r="E972" s="38"/>
      <c r="F972" s="39"/>
      <c r="H972" s="39"/>
      <c r="I972" s="40"/>
      <c r="J972" s="41"/>
    </row>
    <row r="973">
      <c r="E973" s="38"/>
      <c r="F973" s="39"/>
      <c r="H973" s="39"/>
      <c r="I973" s="40"/>
      <c r="J973" s="41"/>
    </row>
    <row r="974">
      <c r="E974" s="38"/>
      <c r="F974" s="39"/>
      <c r="H974" s="39"/>
      <c r="I974" s="40"/>
      <c r="J974" s="41"/>
    </row>
    <row r="975">
      <c r="E975" s="38"/>
      <c r="F975" s="39"/>
      <c r="H975" s="39"/>
      <c r="I975" s="40"/>
      <c r="J975" s="41"/>
    </row>
    <row r="976">
      <c r="E976" s="38"/>
      <c r="F976" s="39"/>
      <c r="H976" s="39"/>
      <c r="I976" s="40"/>
      <c r="J976" s="41"/>
    </row>
    <row r="977">
      <c r="E977" s="38"/>
      <c r="F977" s="39"/>
      <c r="H977" s="39"/>
      <c r="I977" s="40"/>
      <c r="J977" s="41"/>
    </row>
    <row r="978">
      <c r="E978" s="38"/>
      <c r="F978" s="39"/>
      <c r="H978" s="39"/>
      <c r="I978" s="40"/>
      <c r="J978" s="41"/>
    </row>
    <row r="979">
      <c r="E979" s="38"/>
      <c r="F979" s="39"/>
      <c r="H979" s="39"/>
      <c r="I979" s="40"/>
      <c r="J979" s="41"/>
    </row>
    <row r="980">
      <c r="E980" s="38"/>
      <c r="F980" s="39"/>
      <c r="H980" s="39"/>
      <c r="I980" s="40"/>
      <c r="J980" s="41"/>
    </row>
    <row r="981">
      <c r="E981" s="38"/>
      <c r="F981" s="39"/>
      <c r="H981" s="39"/>
      <c r="I981" s="40"/>
      <c r="J981" s="41"/>
    </row>
    <row r="982">
      <c r="E982" s="38"/>
      <c r="F982" s="39"/>
      <c r="H982" s="39"/>
      <c r="I982" s="40"/>
      <c r="J982" s="41"/>
    </row>
    <row r="983">
      <c r="E983" s="38"/>
      <c r="F983" s="39"/>
      <c r="H983" s="39"/>
      <c r="I983" s="40"/>
      <c r="J983" s="41"/>
    </row>
    <row r="984">
      <c r="E984" s="38"/>
      <c r="F984" s="39"/>
      <c r="H984" s="39"/>
      <c r="I984" s="40"/>
      <c r="J984" s="41"/>
    </row>
    <row r="985">
      <c r="E985" s="38"/>
      <c r="F985" s="39"/>
      <c r="H985" s="39"/>
      <c r="I985" s="40"/>
      <c r="J985" s="41"/>
    </row>
    <row r="986">
      <c r="E986" s="38"/>
      <c r="F986" s="39"/>
      <c r="H986" s="39"/>
      <c r="I986" s="40"/>
      <c r="J986" s="41"/>
    </row>
    <row r="987">
      <c r="E987" s="38"/>
      <c r="F987" s="39"/>
      <c r="H987" s="39"/>
      <c r="I987" s="40"/>
      <c r="J987" s="41"/>
    </row>
    <row r="988">
      <c r="E988" s="38"/>
      <c r="F988" s="39"/>
      <c r="H988" s="39"/>
      <c r="I988" s="40"/>
      <c r="J988" s="41"/>
    </row>
    <row r="989">
      <c r="E989" s="38"/>
      <c r="F989" s="39"/>
      <c r="H989" s="39"/>
      <c r="I989" s="40"/>
      <c r="J989" s="41"/>
    </row>
    <row r="990">
      <c r="E990" s="38"/>
      <c r="F990" s="39"/>
      <c r="H990" s="39"/>
      <c r="I990" s="40"/>
      <c r="J990" s="41"/>
    </row>
    <row r="991">
      <c r="E991" s="38"/>
      <c r="F991" s="39"/>
      <c r="H991" s="39"/>
      <c r="I991" s="40"/>
      <c r="J991" s="41"/>
    </row>
    <row r="992">
      <c r="E992" s="38"/>
      <c r="F992" s="39"/>
      <c r="H992" s="39"/>
      <c r="I992" s="40"/>
      <c r="J992" s="41"/>
    </row>
    <row r="993">
      <c r="E993" s="38"/>
      <c r="F993" s="39"/>
      <c r="H993" s="39"/>
      <c r="I993" s="40"/>
      <c r="J993" s="41"/>
    </row>
    <row r="994">
      <c r="E994" s="38"/>
      <c r="F994" s="39"/>
      <c r="H994" s="39"/>
      <c r="I994" s="40"/>
      <c r="J994" s="41"/>
    </row>
    <row r="995">
      <c r="E995" s="38"/>
      <c r="F995" s="39"/>
      <c r="H995" s="39"/>
      <c r="I995" s="40"/>
      <c r="J995" s="41"/>
    </row>
    <row r="996">
      <c r="E996" s="38"/>
      <c r="F996" s="39"/>
      <c r="H996" s="39"/>
      <c r="I996" s="40"/>
      <c r="J996" s="41"/>
    </row>
    <row r="997">
      <c r="E997" s="38"/>
      <c r="F997" s="39"/>
      <c r="H997" s="39"/>
      <c r="I997" s="40"/>
      <c r="J997" s="41"/>
    </row>
    <row r="998">
      <c r="E998" s="38"/>
      <c r="F998" s="39"/>
      <c r="H998" s="39"/>
      <c r="I998" s="40"/>
      <c r="J998" s="41"/>
    </row>
    <row r="999">
      <c r="E999" s="38"/>
      <c r="F999" s="39"/>
      <c r="H999" s="39"/>
      <c r="I999" s="40"/>
      <c r="J999" s="41"/>
    </row>
    <row r="1000">
      <c r="E1000" s="38"/>
      <c r="F1000" s="39"/>
      <c r="H1000" s="39"/>
      <c r="I1000" s="40"/>
      <c r="J1000" s="41"/>
    </row>
  </sheetData>
  <customSheetViews>
    <customSheetView guid="{AD6E7301-5874-44B5-B9C6-145E8B43742B}" filter="1" showAutoFilter="1">
      <autoFilter ref="$A$1:$I$213"/>
    </customSheetView>
  </customSheetViews>
  <conditionalFormatting sqref="A1:A1000">
    <cfRule type="expression" dxfId="1" priority="1">
      <formula>unique</formula>
    </cfRule>
  </conditionalFormatting>
  <conditionalFormatting sqref="F1:F1000">
    <cfRule type="colorScale" priority="2">
      <colorScale>
        <cfvo type="min"/>
        <cfvo type="max"/>
        <color rgb="FFC9DAF8"/>
        <color rgb="FF57BB8A"/>
      </colorScale>
    </cfRule>
  </conditionalFormatting>
  <dataValidations>
    <dataValidation type="list" allowBlank="1" showDropDown="1" showErrorMessage="1" sqref="B2:B213">
      <formula1>"Male,Female,Other"</formula1>
    </dataValidation>
    <dataValidation type="list" allowBlank="1" showDropDown="1" showErrorMessage="1" sqref="C2:C213">
      <formula1>"Sales,Procurement,Finance,Website,HR"</formula1>
    </dataValidation>
    <dataValidation type="list" allowBlank="1" showDropDown="1" showErrorMessage="1" sqref="G2:G213">
      <formula1>"Above average,Average,Poor,Exceptional,Very poor"</formula1>
    </dataValidation>
    <dataValidation type="custom" allowBlank="1" showDropDown="1" sqref="E2:E213">
      <formula1>OR(NOT(ISERROR(DATEVALUE(E2))), AND(ISNUMBER(E2), LEFT(CELL("format", E2))="D"))</formula1>
    </dataValidation>
    <dataValidation type="list" allowBlank="1" showDropDown="1" showErrorMessage="1" sqref="H2:H213">
      <formula1>"NZ,IND"</formula1>
    </dataValidation>
    <dataValidation type="custom" allowBlank="1" showDropDown="1" sqref="D2:D213 F2:F213">
      <formula1>AND(ISNUMBER(D2),(NOT(OR(NOT(ISERROR(DATEVALUE(D2))), AND(ISNUMBER(D2), LEFT(CELL("format", D2))="D")))))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19.63"/>
    <col customWidth="1" min="3" max="3" width="12.25"/>
    <col customWidth="1" min="4" max="4" width="8.38"/>
    <col customWidth="1" min="5" max="5" width="4.75"/>
    <col customWidth="1" min="6" max="6" width="13.75"/>
    <col customWidth="1" min="7" max="7" width="12.5"/>
    <col customWidth="1" min="8" max="8" width="8.5"/>
    <col customWidth="1" min="9" max="9" width="4.75"/>
    <col customWidth="1" min="10" max="10" width="19.63"/>
    <col customWidth="1" min="11" max="11" width="11.88"/>
    <col customWidth="1" min="13" max="13" width="9.38"/>
    <col customWidth="1" min="14" max="14" width="8.75"/>
    <col customWidth="1" min="15" max="15" width="4.75"/>
    <col customWidth="1" min="16" max="16" width="16.38"/>
  </cols>
  <sheetData>
    <row r="1">
      <c r="A1" s="42">
        <v>1.0</v>
      </c>
      <c r="B1" s="43" t="s">
        <v>225</v>
      </c>
      <c r="E1" s="42">
        <v>2.0</v>
      </c>
      <c r="F1" s="43" t="s">
        <v>226</v>
      </c>
      <c r="G1" s="44" t="s">
        <v>93</v>
      </c>
      <c r="I1" s="42">
        <v>3.0</v>
      </c>
      <c r="J1" s="43" t="s">
        <v>227</v>
      </c>
      <c r="K1" s="44" t="s">
        <v>42</v>
      </c>
      <c r="O1" s="42">
        <v>4.0</v>
      </c>
      <c r="P1" s="43" t="s">
        <v>228</v>
      </c>
    </row>
    <row r="2">
      <c r="E2" s="45"/>
      <c r="I2" s="45"/>
      <c r="P2" s="43" t="s">
        <v>24</v>
      </c>
      <c r="Q2" s="44" t="s">
        <v>35</v>
      </c>
    </row>
    <row r="3">
      <c r="B3" s="1" t="s">
        <v>229</v>
      </c>
      <c r="C3" s="46">
        <f>COUNTA(Staff[Name])</f>
        <v>184</v>
      </c>
      <c r="F3" s="47" t="str">
        <f t="array" ref="F3:F14">Transpose(XLOOKUP("Name",StaffData!A1:A1006,StaffData!A1:L1006))</f>
        <v>Name</v>
      </c>
      <c r="G3" s="39" t="str">
        <f t="array" ref="G3:G14">TRANSPOSE(XLOOKUP(G1,Staff[Name],Staff[]))</f>
        <v>Prerana Nishita</v>
      </c>
      <c r="I3" s="45"/>
      <c r="J3" s="48" t="s">
        <v>14</v>
      </c>
      <c r="K3" s="48" t="s">
        <v>19</v>
      </c>
      <c r="L3" s="48" t="s">
        <v>20</v>
      </c>
    </row>
    <row r="4">
      <c r="A4" s="45"/>
      <c r="B4" s="1" t="s">
        <v>230</v>
      </c>
      <c r="C4" s="46">
        <f>COUNTIFS(Staff[Gender],"Female")</f>
        <v>86</v>
      </c>
      <c r="F4" s="47" t="s">
        <v>15</v>
      </c>
      <c r="G4" s="39" t="s">
        <v>35</v>
      </c>
      <c r="I4" s="45"/>
    </row>
    <row r="5">
      <c r="A5" s="45"/>
      <c r="B5" s="1" t="s">
        <v>231</v>
      </c>
      <c r="C5" s="46">
        <f>COUNTIFS(Staff[Gender],"Male")</f>
        <v>90</v>
      </c>
      <c r="F5" s="47" t="s">
        <v>16</v>
      </c>
      <c r="G5" s="39" t="s">
        <v>33</v>
      </c>
      <c r="I5" s="45"/>
      <c r="J5" s="46" t="str">
        <f>IFERROR(__xludf.DUMMYFUNCTION("SORT(CHOOSECOLS(FILTER(Staff,Staff[Department]=K1),1,6,7),2,0)"),"Ewart Laphorn")</f>
        <v>Ewart Laphorn</v>
      </c>
      <c r="K5" s="49">
        <f>IFERROR(__xludf.DUMMYFUNCTION("""COMPUTED_VALUE"""),119110.0)</f>
        <v>119110</v>
      </c>
      <c r="L5" s="46" t="str">
        <f>IFERROR(__xludf.DUMMYFUNCTION("""COMPUTED_VALUE"""),"Average")</f>
        <v>Average</v>
      </c>
    </row>
    <row r="6">
      <c r="A6" s="45"/>
      <c r="B6" s="1" t="s">
        <v>233</v>
      </c>
      <c r="C6" s="50">
        <f>C4/C3</f>
        <v>0.4673913043</v>
      </c>
      <c r="F6" s="47" t="s">
        <v>17</v>
      </c>
      <c r="G6" s="51">
        <v>32.0</v>
      </c>
      <c r="I6" s="45"/>
      <c r="J6" s="46" t="str">
        <f>IFERROR(__xludf.DUMMYFUNCTION("""COMPUTED_VALUE"""),"Anjushri Chandiramani")</f>
        <v>Anjushri Chandiramani</v>
      </c>
      <c r="K6" s="49">
        <f>IFERROR(__xludf.DUMMYFUNCTION("""COMPUTED_VALUE"""),119110.0)</f>
        <v>119110</v>
      </c>
      <c r="L6" s="46" t="str">
        <f>IFERROR(__xludf.DUMMYFUNCTION("""COMPUTED_VALUE"""),"Average")</f>
        <v>Average</v>
      </c>
      <c r="M6" s="52" t="s">
        <v>234</v>
      </c>
    </row>
    <row r="7">
      <c r="A7" s="45"/>
      <c r="B7" s="1" t="s">
        <v>236</v>
      </c>
      <c r="C7" s="49">
        <f>AVERAGE(Staff[Salary])</f>
        <v>77366.52174</v>
      </c>
      <c r="F7" s="53" t="s">
        <v>18</v>
      </c>
      <c r="G7" s="38">
        <v>44549.0</v>
      </c>
      <c r="I7" s="45"/>
      <c r="J7" s="46" t="str">
        <f>IFERROR(__xludf.DUMMYFUNCTION("""COMPUTED_VALUE"""),"Valentia Etteridge")</f>
        <v>Valentia Etteridge</v>
      </c>
      <c r="K7" s="49">
        <f>IFERROR(__xludf.DUMMYFUNCTION("""COMPUTED_VALUE"""),118100.0)</f>
        <v>118100</v>
      </c>
      <c r="L7" s="46" t="str">
        <f>IFERROR(__xludf.DUMMYFUNCTION("""COMPUTED_VALUE"""),"Average")</f>
        <v>Average</v>
      </c>
      <c r="M7" s="54"/>
    </row>
    <row r="8">
      <c r="A8" s="45"/>
      <c r="B8" s="1" t="s">
        <v>238</v>
      </c>
      <c r="C8" s="49">
        <f>MEDIAN(Staff[Salary])</f>
        <v>75140</v>
      </c>
      <c r="F8" s="47" t="s">
        <v>19</v>
      </c>
      <c r="G8" s="55">
        <v>41570.0</v>
      </c>
      <c r="I8" s="45"/>
      <c r="J8" s="46" t="str">
        <f>IFERROR(__xludf.DUMMYFUNCTION("""COMPUTED_VALUE"""),"Kaishori Harathi Kateel")</f>
        <v>Kaishori Harathi Kateel</v>
      </c>
      <c r="K8" s="49">
        <f>IFERROR(__xludf.DUMMYFUNCTION("""COMPUTED_VALUE"""),118100.0)</f>
        <v>118100</v>
      </c>
      <c r="L8" s="46" t="str">
        <f>IFERROR(__xludf.DUMMYFUNCTION("""COMPUTED_VALUE"""),"Average")</f>
        <v>Average</v>
      </c>
      <c r="M8" s="54"/>
    </row>
    <row r="9">
      <c r="A9" s="45"/>
      <c r="B9" s="1" t="s">
        <v>240</v>
      </c>
      <c r="C9" s="49">
        <f>MAX(Staff[Salary])</f>
        <v>119110</v>
      </c>
      <c r="F9" s="47" t="s">
        <v>20</v>
      </c>
      <c r="G9" s="39" t="s">
        <v>29</v>
      </c>
      <c r="I9" s="45"/>
      <c r="J9" s="46" t="str">
        <f>IFERROR(__xludf.DUMMYFUNCTION("""COMPUTED_VALUE"""),"Shari McNee")</f>
        <v>Shari McNee</v>
      </c>
      <c r="K9" s="49">
        <f>IFERROR(__xludf.DUMMYFUNCTION("""COMPUTED_VALUE"""),75880.0)</f>
        <v>75880</v>
      </c>
      <c r="L9" s="46" t="str">
        <f>IFERROR(__xludf.DUMMYFUNCTION("""COMPUTED_VALUE"""),"Average")</f>
        <v>Average</v>
      </c>
      <c r="M9" s="54"/>
    </row>
    <row r="10">
      <c r="A10" s="45"/>
      <c r="B10" s="1" t="s">
        <v>242</v>
      </c>
      <c r="C10" s="49">
        <f>MIN(Staff[Salary])</f>
        <v>33920</v>
      </c>
      <c r="F10" s="47" t="s">
        <v>21</v>
      </c>
      <c r="G10" s="39" t="s">
        <v>31</v>
      </c>
      <c r="I10" s="45"/>
      <c r="J10" s="46" t="str">
        <f>IFERROR(__xludf.DUMMYFUNCTION("""COMPUTED_VALUE"""),"Sameer Shashank Sapra")</f>
        <v>Sameer Shashank Sapra</v>
      </c>
      <c r="K10" s="49">
        <f>IFERROR(__xludf.DUMMYFUNCTION("""COMPUTED_VALUE"""),75880.0)</f>
        <v>75880</v>
      </c>
      <c r="L10" s="46" t="str">
        <f>IFERROR(__xludf.DUMMYFUNCTION("""COMPUTED_VALUE"""),"Average")</f>
        <v>Average</v>
      </c>
      <c r="M10" s="54"/>
    </row>
    <row r="11">
      <c r="A11" s="45"/>
      <c r="B11" s="1" t="s">
        <v>243</v>
      </c>
      <c r="C11" s="56">
        <f>AVERAGE(Staff[Age])</f>
        <v>30.44565217</v>
      </c>
      <c r="F11" s="57" t="s">
        <v>220</v>
      </c>
      <c r="G11" s="58">
        <v>4.413698630136986</v>
      </c>
      <c r="I11" s="45"/>
      <c r="J11" s="46" t="str">
        <f>IFERROR(__xludf.DUMMYFUNCTION("""COMPUTED_VALUE"""),"Florinda Crace")</f>
        <v>Florinda Crace</v>
      </c>
      <c r="K11" s="49">
        <f>IFERROR(__xludf.DUMMYFUNCTION("""COMPUTED_VALUE"""),45510.0)</f>
        <v>45510</v>
      </c>
      <c r="L11" s="46" t="str">
        <f>IFERROR(__xludf.DUMMYFUNCTION("""COMPUTED_VALUE"""),"Average")</f>
        <v>Average</v>
      </c>
      <c r="M11" s="59">
        <f>COUNTIFS(Staff[Department],K1)</f>
        <v>8</v>
      </c>
    </row>
    <row r="12">
      <c r="A12" s="45"/>
      <c r="B12" s="1" t="s">
        <v>244</v>
      </c>
      <c r="C12" s="56">
        <f>MEDIAN(Staff[Age])</f>
        <v>30</v>
      </c>
      <c r="F12" s="60" t="s">
        <v>221</v>
      </c>
      <c r="G12" s="61">
        <v>1248.0</v>
      </c>
      <c r="I12" s="45"/>
      <c r="J12" s="46" t="str">
        <f>IFERROR(__xludf.DUMMYFUNCTION("""COMPUTED_VALUE"""),"Madhavdas Buhpathi")</f>
        <v>Madhavdas Buhpathi</v>
      </c>
      <c r="K12" s="49">
        <f>IFERROR(__xludf.DUMMYFUNCTION("""COMPUTED_VALUE"""),45510.0)</f>
        <v>45510</v>
      </c>
      <c r="L12" s="46" t="str">
        <f>IFERROR(__xludf.DUMMYFUNCTION("""COMPUTED_VALUE"""),"Average")</f>
        <v>Average</v>
      </c>
    </row>
    <row r="13">
      <c r="A13" s="45"/>
      <c r="B13" s="1" t="s">
        <v>245</v>
      </c>
      <c r="C13" s="56">
        <f>MAX(Staff[Age])</f>
        <v>46</v>
      </c>
      <c r="F13" s="60" t="s">
        <v>222</v>
      </c>
      <c r="G13" s="62">
        <v>3.0</v>
      </c>
      <c r="K13" s="49"/>
      <c r="M13" s="63"/>
    </row>
    <row r="14">
      <c r="A14" s="45"/>
      <c r="B14" s="1" t="s">
        <v>246</v>
      </c>
      <c r="C14" s="56">
        <f>MIN(Staff[Age])</f>
        <v>19</v>
      </c>
      <c r="F14" s="60" t="s">
        <v>223</v>
      </c>
      <c r="G14" s="62">
        <v>2021.0</v>
      </c>
    </row>
    <row r="15">
      <c r="A15" s="45"/>
      <c r="B15" s="1" t="s">
        <v>247</v>
      </c>
      <c r="C15" s="40">
        <f>AVERAGE(Staff[Tenure])</f>
        <v>4.72739726</v>
      </c>
    </row>
    <row r="16">
      <c r="A16" s="45"/>
    </row>
    <row r="17">
      <c r="A17" s="45"/>
      <c r="H17" s="64"/>
      <c r="I17" s="58"/>
    </row>
    <row r="18">
      <c r="A18" s="45"/>
      <c r="H18" s="64"/>
      <c r="I18" s="58"/>
    </row>
    <row r="19">
      <c r="A19" s="45"/>
      <c r="H19" s="64"/>
      <c r="I19" s="58"/>
    </row>
    <row r="20">
      <c r="A20" s="45"/>
      <c r="H20" s="64"/>
      <c r="I20" s="58"/>
    </row>
    <row r="21">
      <c r="A21" s="45"/>
    </row>
    <row r="48">
      <c r="A48" s="45"/>
    </row>
    <row r="49">
      <c r="A49" s="45"/>
    </row>
    <row r="50">
      <c r="A50" s="45"/>
    </row>
    <row r="51">
      <c r="A51" s="45"/>
    </row>
    <row r="52">
      <c r="A52" s="45"/>
    </row>
    <row r="53">
      <c r="A53" s="45"/>
    </row>
    <row r="54">
      <c r="A54" s="45"/>
    </row>
    <row r="55">
      <c r="A55" s="45"/>
    </row>
    <row r="56">
      <c r="A56" s="45"/>
    </row>
    <row r="57">
      <c r="A57" s="45"/>
    </row>
    <row r="58">
      <c r="A58" s="45"/>
    </row>
    <row r="59">
      <c r="A59" s="45"/>
    </row>
    <row r="60">
      <c r="A60" s="45"/>
    </row>
    <row r="61">
      <c r="A61" s="45"/>
    </row>
    <row r="62">
      <c r="A62" s="45"/>
    </row>
    <row r="63">
      <c r="A63" s="45"/>
    </row>
    <row r="64">
      <c r="A64" s="45"/>
    </row>
    <row r="65">
      <c r="A65" s="45"/>
    </row>
    <row r="66">
      <c r="A66" s="45"/>
    </row>
    <row r="67">
      <c r="A67" s="45"/>
    </row>
    <row r="68">
      <c r="A68" s="45"/>
    </row>
    <row r="69">
      <c r="A69" s="45"/>
    </row>
    <row r="70">
      <c r="A70" s="45"/>
    </row>
    <row r="71">
      <c r="A71" s="45"/>
    </row>
    <row r="72">
      <c r="A72" s="45"/>
    </row>
    <row r="73">
      <c r="A73" s="45"/>
    </row>
    <row r="74">
      <c r="A74" s="45"/>
    </row>
    <row r="75">
      <c r="A75" s="45"/>
    </row>
    <row r="76">
      <c r="A76" s="45"/>
    </row>
    <row r="77">
      <c r="A77" s="45"/>
    </row>
    <row r="78">
      <c r="A78" s="45"/>
    </row>
    <row r="79">
      <c r="A79" s="45"/>
    </row>
    <row r="80">
      <c r="A80" s="45"/>
    </row>
    <row r="81">
      <c r="A81" s="45"/>
    </row>
    <row r="82">
      <c r="A82" s="45"/>
    </row>
    <row r="83">
      <c r="A83" s="45"/>
    </row>
    <row r="84">
      <c r="A84" s="45"/>
    </row>
    <row r="85">
      <c r="A85" s="45"/>
    </row>
    <row r="86">
      <c r="A86" s="45"/>
    </row>
    <row r="87">
      <c r="A87" s="45"/>
    </row>
    <row r="88">
      <c r="A88" s="45"/>
    </row>
    <row r="89">
      <c r="A89" s="45"/>
    </row>
    <row r="90">
      <c r="A90" s="45"/>
    </row>
    <row r="91">
      <c r="A91" s="45"/>
    </row>
    <row r="92">
      <c r="A92" s="45"/>
    </row>
    <row r="93">
      <c r="A93" s="45"/>
    </row>
    <row r="94">
      <c r="A94" s="45"/>
    </row>
    <row r="95">
      <c r="A95" s="45"/>
    </row>
    <row r="96">
      <c r="A96" s="45"/>
    </row>
    <row r="97">
      <c r="A97" s="45"/>
    </row>
    <row r="98">
      <c r="A98" s="45"/>
    </row>
    <row r="99">
      <c r="A99" s="45"/>
    </row>
    <row r="100">
      <c r="A100" s="45"/>
    </row>
    <row r="101">
      <c r="A101" s="45"/>
    </row>
    <row r="102">
      <c r="A102" s="45"/>
    </row>
    <row r="103">
      <c r="A103" s="45"/>
    </row>
    <row r="104">
      <c r="A104" s="45"/>
    </row>
    <row r="105">
      <c r="A105" s="45"/>
    </row>
    <row r="106">
      <c r="A106" s="45"/>
    </row>
    <row r="107">
      <c r="A107" s="45"/>
    </row>
    <row r="108">
      <c r="A108" s="45"/>
    </row>
    <row r="109">
      <c r="A109" s="45"/>
    </row>
    <row r="110">
      <c r="A110" s="45"/>
    </row>
    <row r="111">
      <c r="A111" s="45"/>
    </row>
    <row r="112">
      <c r="A112" s="45"/>
    </row>
    <row r="113">
      <c r="A113" s="45"/>
    </row>
    <row r="114">
      <c r="A114" s="45"/>
    </row>
    <row r="115">
      <c r="A115" s="45"/>
    </row>
    <row r="116">
      <c r="A116" s="45"/>
    </row>
    <row r="117">
      <c r="A117" s="45"/>
    </row>
    <row r="118">
      <c r="A118" s="45"/>
    </row>
    <row r="119">
      <c r="A119" s="45"/>
    </row>
    <row r="120">
      <c r="A120" s="45"/>
    </row>
    <row r="121">
      <c r="A121" s="45"/>
    </row>
    <row r="122">
      <c r="A122" s="45"/>
    </row>
    <row r="123">
      <c r="A123" s="45"/>
    </row>
    <row r="124">
      <c r="A124" s="45"/>
    </row>
    <row r="125">
      <c r="A125" s="45"/>
    </row>
    <row r="126">
      <c r="A126" s="45"/>
    </row>
    <row r="127">
      <c r="A127" s="45"/>
    </row>
    <row r="128">
      <c r="A128" s="45"/>
    </row>
    <row r="129">
      <c r="A129" s="45"/>
    </row>
    <row r="130">
      <c r="A130" s="45"/>
    </row>
    <row r="131">
      <c r="A131" s="45"/>
    </row>
    <row r="132">
      <c r="A132" s="45"/>
    </row>
    <row r="133">
      <c r="A133" s="45"/>
    </row>
    <row r="134">
      <c r="A134" s="45"/>
    </row>
    <row r="135">
      <c r="A135" s="45"/>
    </row>
    <row r="136">
      <c r="A136" s="45"/>
    </row>
    <row r="137">
      <c r="A137" s="45"/>
    </row>
    <row r="138">
      <c r="A138" s="45"/>
    </row>
    <row r="139">
      <c r="A139" s="45"/>
    </row>
    <row r="140">
      <c r="A140" s="45"/>
    </row>
    <row r="141">
      <c r="A141" s="45"/>
    </row>
    <row r="142">
      <c r="A142" s="45"/>
    </row>
    <row r="143">
      <c r="A143" s="45"/>
    </row>
    <row r="144">
      <c r="A144" s="45"/>
    </row>
    <row r="145">
      <c r="A145" s="45"/>
    </row>
    <row r="146">
      <c r="A146" s="45"/>
    </row>
    <row r="147">
      <c r="A147" s="45"/>
    </row>
    <row r="148">
      <c r="A148" s="45"/>
    </row>
    <row r="149">
      <c r="A149" s="45"/>
    </row>
    <row r="150">
      <c r="A150" s="45"/>
    </row>
    <row r="151">
      <c r="A151" s="45"/>
    </row>
    <row r="152">
      <c r="A152" s="45"/>
    </row>
    <row r="153">
      <c r="A153" s="45"/>
    </row>
    <row r="154">
      <c r="A154" s="45"/>
    </row>
    <row r="155">
      <c r="A155" s="45"/>
    </row>
    <row r="156">
      <c r="A156" s="45"/>
    </row>
    <row r="157">
      <c r="A157" s="45"/>
    </row>
    <row r="158">
      <c r="A158" s="45"/>
    </row>
    <row r="159">
      <c r="A159" s="45"/>
    </row>
    <row r="160">
      <c r="A160" s="45"/>
    </row>
    <row r="161">
      <c r="A161" s="45"/>
    </row>
    <row r="162">
      <c r="A162" s="45"/>
    </row>
    <row r="163">
      <c r="A163" s="45"/>
    </row>
    <row r="164">
      <c r="A164" s="45"/>
    </row>
    <row r="165">
      <c r="A165" s="45"/>
    </row>
    <row r="166">
      <c r="A166" s="45"/>
    </row>
    <row r="167">
      <c r="A167" s="45"/>
    </row>
    <row r="168">
      <c r="A168" s="45"/>
    </row>
    <row r="169">
      <c r="A169" s="45"/>
    </row>
    <row r="170">
      <c r="A170" s="45"/>
    </row>
    <row r="171">
      <c r="A171" s="45"/>
    </row>
    <row r="172">
      <c r="A172" s="45"/>
    </row>
    <row r="173">
      <c r="A173" s="45"/>
    </row>
    <row r="174">
      <c r="A174" s="45"/>
    </row>
    <row r="175">
      <c r="A175" s="45"/>
    </row>
    <row r="176">
      <c r="A176" s="45"/>
    </row>
    <row r="177">
      <c r="A177" s="45"/>
    </row>
    <row r="178">
      <c r="A178" s="45"/>
    </row>
    <row r="179">
      <c r="A179" s="45"/>
    </row>
    <row r="180">
      <c r="A180" s="45"/>
    </row>
    <row r="181">
      <c r="A181" s="45"/>
    </row>
    <row r="182">
      <c r="A182" s="45"/>
    </row>
    <row r="183">
      <c r="A183" s="45"/>
    </row>
    <row r="184">
      <c r="A184" s="45"/>
    </row>
    <row r="185">
      <c r="A185" s="45"/>
    </row>
    <row r="186">
      <c r="A186" s="45"/>
    </row>
    <row r="187">
      <c r="A187" s="45"/>
    </row>
    <row r="188">
      <c r="A188" s="45"/>
    </row>
    <row r="189">
      <c r="A189" s="45"/>
    </row>
    <row r="190">
      <c r="A190" s="45"/>
    </row>
    <row r="191">
      <c r="A191" s="45"/>
    </row>
    <row r="192">
      <c r="A192" s="45"/>
    </row>
    <row r="193">
      <c r="A193" s="45"/>
    </row>
    <row r="194">
      <c r="A194" s="45"/>
    </row>
    <row r="195">
      <c r="A195" s="45"/>
    </row>
    <row r="196">
      <c r="A196" s="45"/>
    </row>
    <row r="197">
      <c r="A197" s="45"/>
    </row>
    <row r="198">
      <c r="A198" s="45"/>
    </row>
    <row r="199">
      <c r="A199" s="45"/>
    </row>
    <row r="200">
      <c r="A200" s="45"/>
    </row>
    <row r="201">
      <c r="A201" s="45"/>
    </row>
    <row r="202">
      <c r="A202" s="45"/>
    </row>
    <row r="203">
      <c r="A203" s="45"/>
    </row>
    <row r="204">
      <c r="A204" s="45"/>
    </row>
    <row r="205">
      <c r="A205" s="45"/>
    </row>
    <row r="206">
      <c r="A206" s="45"/>
    </row>
    <row r="207">
      <c r="A207" s="45"/>
    </row>
    <row r="208">
      <c r="A208" s="45"/>
    </row>
    <row r="209">
      <c r="A209" s="45"/>
    </row>
    <row r="210">
      <c r="A210" s="45"/>
    </row>
    <row r="211">
      <c r="A211" s="45"/>
    </row>
    <row r="212">
      <c r="A212" s="45"/>
    </row>
    <row r="213">
      <c r="A213" s="45"/>
    </row>
    <row r="214">
      <c r="A214" s="45"/>
    </row>
    <row r="215">
      <c r="A215" s="45"/>
    </row>
    <row r="216">
      <c r="A216" s="45"/>
    </row>
    <row r="217">
      <c r="A217" s="45"/>
    </row>
    <row r="218">
      <c r="A218" s="45"/>
    </row>
    <row r="219">
      <c r="A219" s="45"/>
    </row>
    <row r="220">
      <c r="A220" s="45"/>
    </row>
    <row r="221">
      <c r="A221" s="45"/>
    </row>
    <row r="222">
      <c r="A222" s="45"/>
    </row>
    <row r="223">
      <c r="A223" s="45"/>
    </row>
    <row r="224">
      <c r="A224" s="45"/>
    </row>
    <row r="225">
      <c r="A225" s="45"/>
    </row>
    <row r="226">
      <c r="A226" s="45"/>
    </row>
    <row r="227">
      <c r="A227" s="45"/>
    </row>
    <row r="228">
      <c r="A228" s="45"/>
    </row>
    <row r="229">
      <c r="A229" s="45"/>
    </row>
    <row r="230">
      <c r="A230" s="45"/>
    </row>
    <row r="231">
      <c r="A231" s="45"/>
    </row>
    <row r="232">
      <c r="A232" s="45"/>
    </row>
    <row r="233">
      <c r="A233" s="45"/>
    </row>
    <row r="234">
      <c r="A234" s="45"/>
    </row>
    <row r="235">
      <c r="A235" s="45"/>
    </row>
    <row r="236">
      <c r="A236" s="45"/>
    </row>
    <row r="237">
      <c r="A237" s="45"/>
    </row>
    <row r="238">
      <c r="A238" s="45"/>
    </row>
    <row r="239">
      <c r="A239" s="45"/>
    </row>
    <row r="240">
      <c r="A240" s="45"/>
    </row>
    <row r="241">
      <c r="A241" s="45"/>
    </row>
    <row r="242">
      <c r="A242" s="45"/>
    </row>
    <row r="243">
      <c r="A243" s="45"/>
    </row>
    <row r="244">
      <c r="A244" s="45"/>
    </row>
    <row r="245">
      <c r="A245" s="45"/>
    </row>
    <row r="246">
      <c r="A246" s="45"/>
    </row>
    <row r="247">
      <c r="A247" s="45"/>
    </row>
    <row r="248">
      <c r="A248" s="45"/>
    </row>
    <row r="249">
      <c r="A249" s="45"/>
    </row>
    <row r="250">
      <c r="A250" s="45"/>
    </row>
    <row r="251">
      <c r="A251" s="45"/>
    </row>
    <row r="252">
      <c r="A252" s="45"/>
    </row>
    <row r="253">
      <c r="A253" s="45"/>
    </row>
    <row r="254">
      <c r="A254" s="45"/>
    </row>
    <row r="255">
      <c r="A255" s="45"/>
    </row>
    <row r="256">
      <c r="A256" s="45"/>
    </row>
    <row r="257">
      <c r="A257" s="45"/>
    </row>
    <row r="258">
      <c r="A258" s="45"/>
    </row>
    <row r="259">
      <c r="A259" s="45"/>
    </row>
    <row r="260">
      <c r="A260" s="45"/>
    </row>
    <row r="261">
      <c r="A261" s="45"/>
    </row>
    <row r="262">
      <c r="A262" s="45"/>
    </row>
    <row r="263">
      <c r="A263" s="45"/>
    </row>
    <row r="264">
      <c r="A264" s="45"/>
    </row>
    <row r="265">
      <c r="A265" s="45"/>
    </row>
    <row r="266">
      <c r="A266" s="45"/>
    </row>
    <row r="267">
      <c r="A267" s="45"/>
    </row>
    <row r="268">
      <c r="A268" s="45"/>
    </row>
    <row r="269">
      <c r="A269" s="45"/>
    </row>
    <row r="270">
      <c r="A270" s="45"/>
    </row>
    <row r="271">
      <c r="A271" s="45"/>
    </row>
    <row r="272">
      <c r="A272" s="45"/>
    </row>
    <row r="273">
      <c r="A273" s="45"/>
    </row>
    <row r="274">
      <c r="A274" s="45"/>
    </row>
    <row r="275">
      <c r="A275" s="45"/>
    </row>
    <row r="276">
      <c r="A276" s="45"/>
    </row>
    <row r="277">
      <c r="A277" s="45"/>
    </row>
    <row r="278">
      <c r="A278" s="45"/>
    </row>
    <row r="279">
      <c r="A279" s="45"/>
    </row>
    <row r="280">
      <c r="A280" s="45"/>
    </row>
    <row r="281">
      <c r="A281" s="45"/>
    </row>
    <row r="282">
      <c r="A282" s="45"/>
    </row>
    <row r="283">
      <c r="A283" s="45"/>
    </row>
    <row r="284">
      <c r="A284" s="45"/>
    </row>
    <row r="285">
      <c r="A285" s="45"/>
    </row>
    <row r="286">
      <c r="A286" s="45"/>
    </row>
    <row r="287">
      <c r="A287" s="45"/>
    </row>
    <row r="288">
      <c r="A288" s="45"/>
    </row>
    <row r="289">
      <c r="A289" s="45"/>
    </row>
    <row r="290">
      <c r="A290" s="45"/>
    </row>
    <row r="291">
      <c r="A291" s="45"/>
    </row>
    <row r="292">
      <c r="A292" s="45"/>
    </row>
    <row r="293">
      <c r="A293" s="45"/>
    </row>
    <row r="294">
      <c r="A294" s="45"/>
    </row>
    <row r="295">
      <c r="A295" s="45"/>
    </row>
    <row r="296">
      <c r="A296" s="45"/>
    </row>
    <row r="297">
      <c r="A297" s="45"/>
    </row>
    <row r="298">
      <c r="A298" s="45"/>
    </row>
    <row r="299">
      <c r="A299" s="45"/>
    </row>
    <row r="300">
      <c r="A300" s="45"/>
    </row>
    <row r="301">
      <c r="A301" s="45"/>
    </row>
    <row r="302">
      <c r="A302" s="45"/>
    </row>
    <row r="303">
      <c r="A303" s="45"/>
    </row>
    <row r="304">
      <c r="A304" s="45"/>
    </row>
    <row r="305">
      <c r="A305" s="45"/>
    </row>
    <row r="306">
      <c r="A306" s="45"/>
    </row>
    <row r="307">
      <c r="A307" s="45"/>
    </row>
    <row r="308">
      <c r="A308" s="45"/>
    </row>
    <row r="309">
      <c r="A309" s="45"/>
    </row>
    <row r="310">
      <c r="A310" s="45"/>
    </row>
    <row r="311">
      <c r="A311" s="45"/>
    </row>
    <row r="312">
      <c r="A312" s="45"/>
    </row>
    <row r="313">
      <c r="A313" s="45"/>
    </row>
    <row r="314">
      <c r="A314" s="45"/>
    </row>
    <row r="315">
      <c r="A315" s="45"/>
    </row>
    <row r="316">
      <c r="A316" s="45"/>
    </row>
    <row r="317">
      <c r="A317" s="45"/>
    </row>
    <row r="318">
      <c r="A318" s="45"/>
    </row>
    <row r="319">
      <c r="A319" s="45"/>
    </row>
    <row r="320">
      <c r="A320" s="45"/>
    </row>
    <row r="321">
      <c r="A321" s="45"/>
    </row>
    <row r="322">
      <c r="A322" s="45"/>
    </row>
    <row r="323">
      <c r="A323" s="45"/>
    </row>
    <row r="324">
      <c r="A324" s="45"/>
    </row>
    <row r="325">
      <c r="A325" s="45"/>
    </row>
    <row r="326">
      <c r="A326" s="45"/>
    </row>
    <row r="327">
      <c r="A327" s="45"/>
    </row>
    <row r="328">
      <c r="A328" s="45"/>
    </row>
    <row r="329">
      <c r="A329" s="45"/>
    </row>
    <row r="330">
      <c r="A330" s="45"/>
    </row>
    <row r="331">
      <c r="A331" s="45"/>
    </row>
    <row r="332">
      <c r="A332" s="45"/>
    </row>
    <row r="333">
      <c r="A333" s="45"/>
    </row>
    <row r="334">
      <c r="A334" s="45"/>
    </row>
    <row r="335">
      <c r="A335" s="45"/>
    </row>
    <row r="336">
      <c r="A336" s="45"/>
    </row>
    <row r="337">
      <c r="A337" s="45"/>
    </row>
    <row r="338">
      <c r="A338" s="45"/>
    </row>
    <row r="339">
      <c r="A339" s="45"/>
    </row>
    <row r="340">
      <c r="A340" s="45"/>
    </row>
    <row r="341">
      <c r="A341" s="45"/>
    </row>
    <row r="342">
      <c r="A342" s="45"/>
    </row>
    <row r="343">
      <c r="A343" s="45"/>
    </row>
    <row r="344">
      <c r="A344" s="45"/>
    </row>
    <row r="345">
      <c r="A345" s="45"/>
    </row>
    <row r="346">
      <c r="A346" s="45"/>
    </row>
    <row r="347">
      <c r="A347" s="45"/>
    </row>
    <row r="348">
      <c r="A348" s="45"/>
    </row>
    <row r="349">
      <c r="A349" s="45"/>
    </row>
    <row r="350">
      <c r="A350" s="45"/>
    </row>
    <row r="351">
      <c r="A351" s="45"/>
    </row>
    <row r="352">
      <c r="A352" s="45"/>
    </row>
    <row r="353">
      <c r="A353" s="45"/>
    </row>
    <row r="354">
      <c r="A354" s="45"/>
    </row>
    <row r="355">
      <c r="A355" s="45"/>
    </row>
    <row r="356">
      <c r="A356" s="45"/>
    </row>
    <row r="357">
      <c r="A357" s="45"/>
    </row>
    <row r="358">
      <c r="A358" s="45"/>
    </row>
    <row r="359">
      <c r="A359" s="45"/>
    </row>
    <row r="360">
      <c r="A360" s="45"/>
    </row>
    <row r="361">
      <c r="A361" s="45"/>
    </row>
    <row r="362">
      <c r="A362" s="45"/>
    </row>
    <row r="363">
      <c r="A363" s="45"/>
    </row>
    <row r="364">
      <c r="A364" s="45"/>
    </row>
    <row r="365">
      <c r="A365" s="45"/>
    </row>
    <row r="366">
      <c r="A366" s="45"/>
    </row>
    <row r="367">
      <c r="A367" s="45"/>
    </row>
    <row r="368">
      <c r="A368" s="45"/>
    </row>
    <row r="369">
      <c r="A369" s="45"/>
    </row>
    <row r="370">
      <c r="A370" s="45"/>
    </row>
    <row r="371">
      <c r="A371" s="45"/>
    </row>
    <row r="372">
      <c r="A372" s="45"/>
    </row>
    <row r="373">
      <c r="A373" s="45"/>
    </row>
    <row r="374">
      <c r="A374" s="45"/>
    </row>
    <row r="375">
      <c r="A375" s="45"/>
    </row>
    <row r="376">
      <c r="A376" s="45"/>
    </row>
    <row r="377">
      <c r="A377" s="45"/>
    </row>
    <row r="378">
      <c r="A378" s="45"/>
    </row>
    <row r="379">
      <c r="A379" s="45"/>
    </row>
    <row r="380">
      <c r="A380" s="45"/>
    </row>
    <row r="381">
      <c r="A381" s="45"/>
    </row>
    <row r="382">
      <c r="A382" s="45"/>
    </row>
    <row r="383">
      <c r="A383" s="45"/>
    </row>
    <row r="384">
      <c r="A384" s="45"/>
    </row>
    <row r="385">
      <c r="A385" s="45"/>
    </row>
    <row r="386">
      <c r="A386" s="45"/>
    </row>
    <row r="387">
      <c r="A387" s="45"/>
    </row>
    <row r="388">
      <c r="A388" s="45"/>
    </row>
    <row r="389">
      <c r="A389" s="45"/>
    </row>
    <row r="390">
      <c r="A390" s="45"/>
    </row>
    <row r="391">
      <c r="A391" s="45"/>
    </row>
    <row r="392">
      <c r="A392" s="45"/>
    </row>
    <row r="393">
      <c r="A393" s="45"/>
    </row>
    <row r="394">
      <c r="A394" s="45"/>
    </row>
    <row r="395">
      <c r="A395" s="45"/>
    </row>
    <row r="396">
      <c r="A396" s="45"/>
    </row>
    <row r="397">
      <c r="A397" s="45"/>
    </row>
    <row r="398">
      <c r="A398" s="45"/>
    </row>
    <row r="399">
      <c r="A399" s="45"/>
    </row>
    <row r="400">
      <c r="A400" s="45"/>
    </row>
    <row r="401">
      <c r="A401" s="45"/>
    </row>
    <row r="402">
      <c r="A402" s="45"/>
    </row>
    <row r="403">
      <c r="A403" s="45"/>
    </row>
    <row r="404">
      <c r="A404" s="45"/>
    </row>
    <row r="405">
      <c r="A405" s="45"/>
    </row>
    <row r="406">
      <c r="A406" s="45"/>
    </row>
    <row r="407">
      <c r="A407" s="45"/>
    </row>
    <row r="408">
      <c r="A408" s="45"/>
    </row>
    <row r="409">
      <c r="A409" s="45"/>
    </row>
    <row r="410">
      <c r="A410" s="45"/>
    </row>
    <row r="411">
      <c r="A411" s="45"/>
    </row>
    <row r="412">
      <c r="A412" s="45"/>
    </row>
    <row r="413">
      <c r="A413" s="45"/>
    </row>
    <row r="414">
      <c r="A414" s="45"/>
    </row>
    <row r="415">
      <c r="A415" s="45"/>
    </row>
    <row r="416">
      <c r="A416" s="45"/>
    </row>
    <row r="417">
      <c r="A417" s="45"/>
    </row>
    <row r="418">
      <c r="A418" s="45"/>
    </row>
    <row r="419">
      <c r="A419" s="45"/>
    </row>
    <row r="420">
      <c r="A420" s="45"/>
    </row>
    <row r="421">
      <c r="A421" s="45"/>
    </row>
    <row r="422">
      <c r="A422" s="45"/>
    </row>
    <row r="423">
      <c r="A423" s="45"/>
    </row>
    <row r="424">
      <c r="A424" s="45"/>
    </row>
    <row r="425">
      <c r="A425" s="45"/>
    </row>
    <row r="426">
      <c r="A426" s="45"/>
    </row>
    <row r="427">
      <c r="A427" s="45"/>
    </row>
    <row r="428">
      <c r="A428" s="45"/>
    </row>
    <row r="429">
      <c r="A429" s="45"/>
    </row>
    <row r="430">
      <c r="A430" s="45"/>
    </row>
    <row r="431">
      <c r="A431" s="45"/>
    </row>
    <row r="432">
      <c r="A432" s="45"/>
    </row>
    <row r="433">
      <c r="A433" s="45"/>
    </row>
    <row r="434">
      <c r="A434" s="45"/>
    </row>
    <row r="435">
      <c r="A435" s="45"/>
    </row>
    <row r="436">
      <c r="A436" s="45"/>
    </row>
    <row r="437">
      <c r="A437" s="45"/>
    </row>
    <row r="438">
      <c r="A438" s="45"/>
    </row>
    <row r="439">
      <c r="A439" s="45"/>
    </row>
    <row r="440">
      <c r="A440" s="45"/>
    </row>
    <row r="441">
      <c r="A441" s="45"/>
    </row>
    <row r="442">
      <c r="A442" s="45"/>
    </row>
    <row r="443">
      <c r="A443" s="45"/>
    </row>
    <row r="444">
      <c r="A444" s="45"/>
    </row>
    <row r="445">
      <c r="A445" s="45"/>
    </row>
    <row r="446">
      <c r="A446" s="45"/>
    </row>
    <row r="447">
      <c r="A447" s="45"/>
    </row>
    <row r="448">
      <c r="A448" s="45"/>
    </row>
    <row r="449">
      <c r="A449" s="45"/>
    </row>
    <row r="450">
      <c r="A450" s="45"/>
    </row>
    <row r="451">
      <c r="A451" s="45"/>
    </row>
    <row r="452">
      <c r="A452" s="45"/>
    </row>
    <row r="453">
      <c r="A453" s="45"/>
    </row>
    <row r="454">
      <c r="A454" s="45"/>
    </row>
    <row r="455">
      <c r="A455" s="45"/>
    </row>
    <row r="456">
      <c r="A456" s="45"/>
    </row>
    <row r="457">
      <c r="A457" s="45"/>
    </row>
    <row r="458">
      <c r="A458" s="45"/>
    </row>
    <row r="459">
      <c r="A459" s="45"/>
    </row>
    <row r="460">
      <c r="A460" s="45"/>
    </row>
    <row r="461">
      <c r="A461" s="45"/>
    </row>
    <row r="462">
      <c r="A462" s="45"/>
    </row>
    <row r="463">
      <c r="A463" s="45"/>
    </row>
    <row r="464">
      <c r="A464" s="45"/>
    </row>
    <row r="465">
      <c r="A465" s="45"/>
    </row>
    <row r="466">
      <c r="A466" s="45"/>
    </row>
    <row r="467">
      <c r="A467" s="45"/>
    </row>
    <row r="468">
      <c r="A468" s="45"/>
    </row>
    <row r="469">
      <c r="A469" s="45"/>
    </row>
    <row r="470">
      <c r="A470" s="45"/>
    </row>
    <row r="471">
      <c r="A471" s="45"/>
    </row>
    <row r="472">
      <c r="A472" s="45"/>
    </row>
    <row r="473">
      <c r="A473" s="45"/>
    </row>
    <row r="474">
      <c r="A474" s="45"/>
    </row>
    <row r="475">
      <c r="A475" s="45"/>
    </row>
    <row r="476">
      <c r="A476" s="45"/>
    </row>
    <row r="477">
      <c r="A477" s="45"/>
    </row>
    <row r="478">
      <c r="A478" s="45"/>
    </row>
    <row r="479">
      <c r="A479" s="45"/>
    </row>
    <row r="480">
      <c r="A480" s="45"/>
    </row>
    <row r="481">
      <c r="A481" s="45"/>
    </row>
    <row r="482">
      <c r="A482" s="45"/>
    </row>
    <row r="483">
      <c r="A483" s="45"/>
    </row>
    <row r="484">
      <c r="A484" s="45"/>
    </row>
    <row r="485">
      <c r="A485" s="45"/>
    </row>
    <row r="486">
      <c r="A486" s="45"/>
    </row>
    <row r="487">
      <c r="A487" s="45"/>
    </row>
    <row r="488">
      <c r="A488" s="45"/>
    </row>
    <row r="489">
      <c r="A489" s="45"/>
    </row>
    <row r="490">
      <c r="A490" s="45"/>
    </row>
    <row r="491">
      <c r="A491" s="45"/>
    </row>
    <row r="492">
      <c r="A492" s="45"/>
    </row>
    <row r="493">
      <c r="A493" s="45"/>
    </row>
    <row r="494">
      <c r="A494" s="45"/>
    </row>
    <row r="495">
      <c r="A495" s="45"/>
    </row>
    <row r="496">
      <c r="A496" s="45"/>
    </row>
    <row r="497">
      <c r="A497" s="45"/>
    </row>
    <row r="498">
      <c r="A498" s="45"/>
    </row>
    <row r="499">
      <c r="A499" s="45"/>
    </row>
    <row r="500">
      <c r="A500" s="45"/>
    </row>
    <row r="501">
      <c r="A501" s="45"/>
    </row>
    <row r="502">
      <c r="A502" s="45"/>
    </row>
    <row r="503">
      <c r="A503" s="45"/>
    </row>
    <row r="504">
      <c r="A504" s="45"/>
    </row>
    <row r="505">
      <c r="A505" s="45"/>
    </row>
    <row r="506">
      <c r="A506" s="45"/>
    </row>
    <row r="507">
      <c r="A507" s="45"/>
    </row>
    <row r="508">
      <c r="A508" s="45"/>
    </row>
    <row r="509">
      <c r="A509" s="45"/>
    </row>
    <row r="510">
      <c r="A510" s="45"/>
    </row>
    <row r="511">
      <c r="A511" s="45"/>
    </row>
    <row r="512">
      <c r="A512" s="45"/>
    </row>
    <row r="513">
      <c r="A513" s="45"/>
    </row>
    <row r="514">
      <c r="A514" s="45"/>
    </row>
    <row r="515">
      <c r="A515" s="45"/>
    </row>
    <row r="516">
      <c r="A516" s="45"/>
    </row>
    <row r="517">
      <c r="A517" s="45"/>
    </row>
    <row r="518">
      <c r="A518" s="45"/>
    </row>
    <row r="519">
      <c r="A519" s="45"/>
    </row>
    <row r="520">
      <c r="A520" s="45"/>
    </row>
    <row r="521">
      <c r="A521" s="45"/>
    </row>
    <row r="522">
      <c r="A522" s="45"/>
    </row>
    <row r="523">
      <c r="A523" s="45"/>
    </row>
    <row r="524">
      <c r="A524" s="45"/>
    </row>
    <row r="525">
      <c r="A525" s="45"/>
    </row>
    <row r="526">
      <c r="A526" s="45"/>
    </row>
    <row r="527">
      <c r="A527" s="45"/>
    </row>
    <row r="528">
      <c r="A528" s="45"/>
    </row>
    <row r="529">
      <c r="A529" s="45"/>
    </row>
    <row r="530">
      <c r="A530" s="45"/>
    </row>
    <row r="531">
      <c r="A531" s="45"/>
    </row>
    <row r="532">
      <c r="A532" s="45"/>
    </row>
    <row r="533">
      <c r="A533" s="45"/>
    </row>
    <row r="534">
      <c r="A534" s="45"/>
    </row>
    <row r="535">
      <c r="A535" s="45"/>
    </row>
    <row r="536">
      <c r="A536" s="45"/>
    </row>
    <row r="537">
      <c r="A537" s="45"/>
    </row>
    <row r="538">
      <c r="A538" s="45"/>
    </row>
    <row r="539">
      <c r="A539" s="45"/>
    </row>
    <row r="540">
      <c r="A540" s="45"/>
    </row>
    <row r="541">
      <c r="A541" s="45"/>
    </row>
    <row r="542">
      <c r="A542" s="45"/>
    </row>
    <row r="543">
      <c r="A543" s="45"/>
    </row>
    <row r="544">
      <c r="A544" s="45"/>
    </row>
    <row r="545">
      <c r="A545" s="45"/>
    </row>
    <row r="546">
      <c r="A546" s="45"/>
    </row>
    <row r="547">
      <c r="A547" s="45"/>
    </row>
    <row r="548">
      <c r="A548" s="45"/>
    </row>
    <row r="549">
      <c r="A549" s="45"/>
    </row>
    <row r="550">
      <c r="A550" s="45"/>
    </row>
    <row r="551">
      <c r="A551" s="45"/>
    </row>
    <row r="552">
      <c r="A552" s="45"/>
    </row>
    <row r="553">
      <c r="A553" s="45"/>
    </row>
    <row r="554">
      <c r="A554" s="45"/>
    </row>
    <row r="555">
      <c r="A555" s="45"/>
    </row>
    <row r="556">
      <c r="A556" s="45"/>
    </row>
    <row r="557">
      <c r="A557" s="45"/>
    </row>
    <row r="558">
      <c r="A558" s="45"/>
    </row>
    <row r="559">
      <c r="A559" s="45"/>
    </row>
    <row r="560">
      <c r="A560" s="45"/>
    </row>
    <row r="561">
      <c r="A561" s="45"/>
    </row>
    <row r="562">
      <c r="A562" s="45"/>
    </row>
    <row r="563">
      <c r="A563" s="45"/>
    </row>
    <row r="564">
      <c r="A564" s="45"/>
    </row>
    <row r="565">
      <c r="A565" s="45"/>
    </row>
    <row r="566">
      <c r="A566" s="45"/>
    </row>
    <row r="567">
      <c r="A567" s="45"/>
    </row>
    <row r="568">
      <c r="A568" s="45"/>
    </row>
    <row r="569">
      <c r="A569" s="45"/>
    </row>
    <row r="570">
      <c r="A570" s="45"/>
    </row>
    <row r="571">
      <c r="A571" s="45"/>
    </row>
    <row r="572">
      <c r="A572" s="45"/>
    </row>
    <row r="573">
      <c r="A573" s="45"/>
    </row>
    <row r="574">
      <c r="A574" s="45"/>
    </row>
    <row r="575">
      <c r="A575" s="45"/>
    </row>
    <row r="576">
      <c r="A576" s="45"/>
    </row>
    <row r="577">
      <c r="A577" s="45"/>
    </row>
    <row r="578">
      <c r="A578" s="45"/>
    </row>
    <row r="579">
      <c r="A579" s="45"/>
    </row>
    <row r="580">
      <c r="A580" s="45"/>
    </row>
    <row r="581">
      <c r="A581" s="45"/>
    </row>
    <row r="582">
      <c r="A582" s="45"/>
    </row>
    <row r="583">
      <c r="A583" s="45"/>
    </row>
    <row r="584">
      <c r="A584" s="45"/>
    </row>
    <row r="585">
      <c r="A585" s="45"/>
    </row>
    <row r="586">
      <c r="A586" s="45"/>
    </row>
    <row r="587">
      <c r="A587" s="45"/>
    </row>
    <row r="588">
      <c r="A588" s="45"/>
    </row>
    <row r="589">
      <c r="A589" s="45"/>
    </row>
    <row r="590">
      <c r="A590" s="45"/>
    </row>
    <row r="591">
      <c r="A591" s="45"/>
    </row>
    <row r="592">
      <c r="A592" s="45"/>
    </row>
    <row r="593">
      <c r="A593" s="45"/>
    </row>
    <row r="594">
      <c r="A594" s="45"/>
    </row>
    <row r="595">
      <c r="A595" s="45"/>
    </row>
    <row r="596">
      <c r="A596" s="45"/>
    </row>
    <row r="597">
      <c r="A597" s="45"/>
    </row>
    <row r="598">
      <c r="A598" s="45"/>
    </row>
    <row r="599">
      <c r="A599" s="45"/>
    </row>
    <row r="600">
      <c r="A600" s="45"/>
    </row>
    <row r="601">
      <c r="A601" s="45"/>
    </row>
    <row r="602">
      <c r="A602" s="45"/>
    </row>
    <row r="603">
      <c r="A603" s="45"/>
    </row>
    <row r="604">
      <c r="A604" s="45"/>
    </row>
    <row r="605">
      <c r="A605" s="45"/>
    </row>
    <row r="606">
      <c r="A606" s="45"/>
    </row>
    <row r="607">
      <c r="A607" s="45"/>
    </row>
    <row r="608">
      <c r="A608" s="45"/>
    </row>
    <row r="609">
      <c r="A609" s="45"/>
    </row>
    <row r="610">
      <c r="A610" s="45"/>
    </row>
    <row r="611">
      <c r="A611" s="45"/>
    </row>
    <row r="612">
      <c r="A612" s="45"/>
    </row>
    <row r="613">
      <c r="A613" s="45"/>
    </row>
    <row r="614">
      <c r="A614" s="45"/>
    </row>
    <row r="615">
      <c r="A615" s="45"/>
    </row>
    <row r="616">
      <c r="A616" s="45"/>
    </row>
    <row r="617">
      <c r="A617" s="45"/>
    </row>
    <row r="618">
      <c r="A618" s="45"/>
    </row>
    <row r="619">
      <c r="A619" s="45"/>
    </row>
    <row r="620">
      <c r="A620" s="45"/>
    </row>
    <row r="621">
      <c r="A621" s="45"/>
    </row>
    <row r="622">
      <c r="A622" s="45"/>
    </row>
    <row r="623">
      <c r="A623" s="45"/>
    </row>
    <row r="624">
      <c r="A624" s="45"/>
    </row>
    <row r="625">
      <c r="A625" s="45"/>
    </row>
    <row r="626">
      <c r="A626" s="45"/>
    </row>
    <row r="627">
      <c r="A627" s="45"/>
    </row>
    <row r="628">
      <c r="A628" s="45"/>
    </row>
    <row r="629">
      <c r="A629" s="45"/>
    </row>
    <row r="630">
      <c r="A630" s="45"/>
    </row>
    <row r="631">
      <c r="A631" s="45"/>
    </row>
    <row r="632">
      <c r="A632" s="45"/>
    </row>
    <row r="633">
      <c r="A633" s="45"/>
    </row>
    <row r="634">
      <c r="A634" s="45"/>
    </row>
    <row r="635">
      <c r="A635" s="45"/>
    </row>
    <row r="636">
      <c r="A636" s="45"/>
    </row>
    <row r="637">
      <c r="A637" s="45"/>
    </row>
    <row r="638">
      <c r="A638" s="45"/>
    </row>
    <row r="639">
      <c r="A639" s="45"/>
    </row>
    <row r="640">
      <c r="A640" s="45"/>
    </row>
    <row r="641">
      <c r="A641" s="45"/>
    </row>
    <row r="642">
      <c r="A642" s="45"/>
    </row>
    <row r="643">
      <c r="A643" s="45"/>
    </row>
    <row r="644">
      <c r="A644" s="45"/>
    </row>
    <row r="645">
      <c r="A645" s="45"/>
    </row>
    <row r="646">
      <c r="A646" s="45"/>
    </row>
    <row r="647">
      <c r="A647" s="45"/>
    </row>
    <row r="648">
      <c r="A648" s="45"/>
    </row>
    <row r="649">
      <c r="A649" s="45"/>
    </row>
    <row r="650">
      <c r="A650" s="45"/>
    </row>
    <row r="651">
      <c r="A651" s="45"/>
    </row>
    <row r="652">
      <c r="A652" s="45"/>
    </row>
    <row r="653">
      <c r="A653" s="45"/>
    </row>
    <row r="654">
      <c r="A654" s="45"/>
    </row>
    <row r="655">
      <c r="A655" s="45"/>
    </row>
    <row r="656">
      <c r="A656" s="45"/>
    </row>
    <row r="657">
      <c r="A657" s="45"/>
    </row>
    <row r="658">
      <c r="A658" s="45"/>
    </row>
    <row r="659">
      <c r="A659" s="45"/>
    </row>
    <row r="660">
      <c r="A660" s="45"/>
    </row>
    <row r="661">
      <c r="A661" s="45"/>
    </row>
    <row r="662">
      <c r="A662" s="45"/>
    </row>
    <row r="663">
      <c r="A663" s="45"/>
    </row>
    <row r="664">
      <c r="A664" s="45"/>
    </row>
    <row r="665">
      <c r="A665" s="45"/>
    </row>
    <row r="666">
      <c r="A666" s="45"/>
    </row>
    <row r="667">
      <c r="A667" s="45"/>
    </row>
    <row r="668">
      <c r="A668" s="45"/>
    </row>
    <row r="669">
      <c r="A669" s="45"/>
    </row>
    <row r="670">
      <c r="A670" s="45"/>
    </row>
    <row r="671">
      <c r="A671" s="45"/>
    </row>
    <row r="672">
      <c r="A672" s="45"/>
    </row>
    <row r="673">
      <c r="A673" s="45"/>
    </row>
    <row r="674">
      <c r="A674" s="45"/>
    </row>
    <row r="675">
      <c r="A675" s="45"/>
    </row>
    <row r="676">
      <c r="A676" s="45"/>
    </row>
    <row r="677">
      <c r="A677" s="45"/>
    </row>
    <row r="678">
      <c r="A678" s="45"/>
    </row>
    <row r="679">
      <c r="A679" s="45"/>
    </row>
    <row r="680">
      <c r="A680" s="45"/>
    </row>
    <row r="681">
      <c r="A681" s="45"/>
    </row>
    <row r="682">
      <c r="A682" s="45"/>
    </row>
    <row r="683">
      <c r="A683" s="45"/>
    </row>
    <row r="684">
      <c r="A684" s="45"/>
    </row>
    <row r="685">
      <c r="A685" s="45"/>
    </row>
    <row r="686">
      <c r="A686" s="45"/>
    </row>
    <row r="687">
      <c r="A687" s="45"/>
    </row>
    <row r="688">
      <c r="A688" s="45"/>
    </row>
    <row r="689">
      <c r="A689" s="45"/>
    </row>
    <row r="690">
      <c r="A690" s="45"/>
    </row>
    <row r="691">
      <c r="A691" s="45"/>
    </row>
    <row r="692">
      <c r="A692" s="45"/>
    </row>
    <row r="693">
      <c r="A693" s="45"/>
    </row>
    <row r="694">
      <c r="A694" s="45"/>
    </row>
    <row r="695">
      <c r="A695" s="45"/>
    </row>
    <row r="696">
      <c r="A696" s="45"/>
    </row>
    <row r="697">
      <c r="A697" s="45"/>
    </row>
    <row r="698">
      <c r="A698" s="45"/>
    </row>
    <row r="699">
      <c r="A699" s="45"/>
    </row>
    <row r="700">
      <c r="A700" s="45"/>
    </row>
    <row r="701">
      <c r="A701" s="45"/>
    </row>
    <row r="702">
      <c r="A702" s="45"/>
    </row>
    <row r="703">
      <c r="A703" s="45"/>
    </row>
    <row r="704">
      <c r="A704" s="45"/>
    </row>
    <row r="705">
      <c r="A705" s="45"/>
    </row>
    <row r="706">
      <c r="A706" s="45"/>
    </row>
    <row r="707">
      <c r="A707" s="45"/>
    </row>
    <row r="708">
      <c r="A708" s="45"/>
    </row>
    <row r="709">
      <c r="A709" s="45"/>
    </row>
    <row r="710">
      <c r="A710" s="45"/>
    </row>
    <row r="711">
      <c r="A711" s="45"/>
    </row>
    <row r="712">
      <c r="A712" s="45"/>
    </row>
    <row r="713">
      <c r="A713" s="45"/>
    </row>
    <row r="714">
      <c r="A714" s="45"/>
    </row>
    <row r="715">
      <c r="A715" s="45"/>
    </row>
    <row r="716">
      <c r="A716" s="45"/>
    </row>
    <row r="717">
      <c r="A717" s="45"/>
    </row>
    <row r="718">
      <c r="A718" s="45"/>
    </row>
    <row r="719">
      <c r="A719" s="45"/>
    </row>
    <row r="720">
      <c r="A720" s="45"/>
    </row>
    <row r="721">
      <c r="A721" s="45"/>
    </row>
    <row r="722">
      <c r="A722" s="45"/>
    </row>
    <row r="723">
      <c r="A723" s="45"/>
    </row>
    <row r="724">
      <c r="A724" s="45"/>
    </row>
    <row r="725">
      <c r="A725" s="45"/>
    </row>
    <row r="726">
      <c r="A726" s="45"/>
    </row>
    <row r="727">
      <c r="A727" s="45"/>
    </row>
    <row r="728">
      <c r="A728" s="45"/>
    </row>
    <row r="729">
      <c r="A729" s="45"/>
    </row>
    <row r="730">
      <c r="A730" s="45"/>
    </row>
    <row r="731">
      <c r="A731" s="45"/>
    </row>
    <row r="732">
      <c r="A732" s="45"/>
    </row>
    <row r="733">
      <c r="A733" s="45"/>
    </row>
    <row r="734">
      <c r="A734" s="45"/>
    </row>
    <row r="735">
      <c r="A735" s="45"/>
    </row>
    <row r="736">
      <c r="A736" s="45"/>
    </row>
    <row r="737">
      <c r="A737" s="45"/>
    </row>
    <row r="738">
      <c r="A738" s="45"/>
    </row>
    <row r="739">
      <c r="A739" s="45"/>
    </row>
    <row r="740">
      <c r="A740" s="45"/>
    </row>
    <row r="741">
      <c r="A741" s="45"/>
    </row>
    <row r="742">
      <c r="A742" s="45"/>
    </row>
    <row r="743">
      <c r="A743" s="45"/>
    </row>
    <row r="744">
      <c r="A744" s="45"/>
    </row>
    <row r="745">
      <c r="A745" s="45"/>
    </row>
    <row r="746">
      <c r="A746" s="45"/>
    </row>
    <row r="747">
      <c r="A747" s="45"/>
    </row>
    <row r="748">
      <c r="A748" s="45"/>
    </row>
    <row r="749">
      <c r="A749" s="45"/>
    </row>
    <row r="750">
      <c r="A750" s="45"/>
    </row>
    <row r="751">
      <c r="A751" s="45"/>
    </row>
    <row r="752">
      <c r="A752" s="45"/>
    </row>
    <row r="753">
      <c r="A753" s="45"/>
    </row>
    <row r="754">
      <c r="A754" s="45"/>
    </row>
    <row r="755">
      <c r="A755" s="45"/>
    </row>
    <row r="756">
      <c r="A756" s="45"/>
    </row>
    <row r="757">
      <c r="A757" s="45"/>
    </row>
    <row r="758">
      <c r="A758" s="45"/>
    </row>
    <row r="759">
      <c r="A759" s="45"/>
    </row>
    <row r="760">
      <c r="A760" s="45"/>
    </row>
    <row r="761">
      <c r="A761" s="45"/>
    </row>
    <row r="762">
      <c r="A762" s="45"/>
    </row>
    <row r="763">
      <c r="A763" s="45"/>
    </row>
    <row r="764">
      <c r="A764" s="45"/>
    </row>
    <row r="765">
      <c r="A765" s="45"/>
    </row>
    <row r="766">
      <c r="A766" s="45"/>
    </row>
    <row r="767">
      <c r="A767" s="45"/>
    </row>
    <row r="768">
      <c r="A768" s="45"/>
    </row>
    <row r="769">
      <c r="A769" s="45"/>
    </row>
    <row r="770">
      <c r="A770" s="45"/>
    </row>
    <row r="771">
      <c r="A771" s="45"/>
    </row>
    <row r="772">
      <c r="A772" s="45"/>
    </row>
    <row r="773">
      <c r="A773" s="45"/>
    </row>
    <row r="774">
      <c r="A774" s="45"/>
    </row>
    <row r="775">
      <c r="A775" s="45"/>
    </row>
    <row r="776">
      <c r="A776" s="45"/>
    </row>
    <row r="777">
      <c r="A777" s="45"/>
    </row>
    <row r="778">
      <c r="A778" s="45"/>
    </row>
    <row r="779">
      <c r="A779" s="45"/>
    </row>
    <row r="780">
      <c r="A780" s="45"/>
    </row>
    <row r="781">
      <c r="A781" s="45"/>
    </row>
    <row r="782">
      <c r="A782" s="45"/>
    </row>
    <row r="783">
      <c r="A783" s="45"/>
    </row>
    <row r="784">
      <c r="A784" s="45"/>
    </row>
    <row r="785">
      <c r="A785" s="45"/>
    </row>
    <row r="786">
      <c r="A786" s="45"/>
    </row>
    <row r="787">
      <c r="A787" s="45"/>
    </row>
    <row r="788">
      <c r="A788" s="45"/>
    </row>
    <row r="789">
      <c r="A789" s="45"/>
    </row>
    <row r="790">
      <c r="A790" s="45"/>
    </row>
    <row r="791">
      <c r="A791" s="45"/>
    </row>
    <row r="792">
      <c r="A792" s="45"/>
    </row>
    <row r="793">
      <c r="A793" s="45"/>
    </row>
    <row r="794">
      <c r="A794" s="45"/>
    </row>
    <row r="795">
      <c r="A795" s="45"/>
    </row>
    <row r="796">
      <c r="A796" s="45"/>
    </row>
    <row r="797">
      <c r="A797" s="45"/>
    </row>
    <row r="798">
      <c r="A798" s="45"/>
    </row>
    <row r="799">
      <c r="A799" s="45"/>
    </row>
    <row r="800">
      <c r="A800" s="45"/>
    </row>
    <row r="801">
      <c r="A801" s="45"/>
    </row>
    <row r="802">
      <c r="A802" s="45"/>
    </row>
    <row r="803">
      <c r="A803" s="45"/>
    </row>
    <row r="804">
      <c r="A804" s="45"/>
    </row>
    <row r="805">
      <c r="A805" s="45"/>
    </row>
    <row r="806">
      <c r="A806" s="45"/>
    </row>
    <row r="807">
      <c r="A807" s="45"/>
    </row>
    <row r="808">
      <c r="A808" s="45"/>
    </row>
    <row r="809">
      <c r="A809" s="45"/>
    </row>
    <row r="810">
      <c r="A810" s="45"/>
    </row>
    <row r="811">
      <c r="A811" s="45"/>
    </row>
    <row r="812">
      <c r="A812" s="45"/>
    </row>
    <row r="813">
      <c r="A813" s="45"/>
    </row>
    <row r="814">
      <c r="A814" s="45"/>
    </row>
    <row r="815">
      <c r="A815" s="45"/>
    </row>
    <row r="816">
      <c r="A816" s="45"/>
    </row>
    <row r="817">
      <c r="A817" s="45"/>
    </row>
    <row r="818">
      <c r="A818" s="45"/>
    </row>
    <row r="819">
      <c r="A819" s="45"/>
    </row>
    <row r="820">
      <c r="A820" s="45"/>
    </row>
    <row r="821">
      <c r="A821" s="45"/>
    </row>
    <row r="822">
      <c r="A822" s="45"/>
    </row>
    <row r="823">
      <c r="A823" s="45"/>
    </row>
    <row r="824">
      <c r="A824" s="45"/>
    </row>
    <row r="825">
      <c r="A825" s="45"/>
    </row>
    <row r="826">
      <c r="A826" s="45"/>
    </row>
    <row r="827">
      <c r="A827" s="45"/>
    </row>
    <row r="828">
      <c r="A828" s="45"/>
    </row>
    <row r="829">
      <c r="A829" s="45"/>
    </row>
    <row r="830">
      <c r="A830" s="45"/>
    </row>
    <row r="831">
      <c r="A831" s="45"/>
    </row>
    <row r="832">
      <c r="A832" s="45"/>
    </row>
    <row r="833">
      <c r="A833" s="45"/>
    </row>
    <row r="834">
      <c r="A834" s="45"/>
    </row>
    <row r="835">
      <c r="A835" s="45"/>
    </row>
    <row r="836">
      <c r="A836" s="45"/>
    </row>
    <row r="837">
      <c r="A837" s="45"/>
    </row>
    <row r="838">
      <c r="A838" s="45"/>
    </row>
    <row r="839">
      <c r="A839" s="45"/>
    </row>
    <row r="840">
      <c r="A840" s="45"/>
    </row>
    <row r="841">
      <c r="A841" s="45"/>
    </row>
    <row r="842">
      <c r="A842" s="45"/>
    </row>
    <row r="843">
      <c r="A843" s="45"/>
    </row>
    <row r="844">
      <c r="A844" s="45"/>
    </row>
    <row r="845">
      <c r="A845" s="45"/>
    </row>
    <row r="846">
      <c r="A846" s="45"/>
    </row>
    <row r="847">
      <c r="A847" s="45"/>
    </row>
    <row r="848">
      <c r="A848" s="45"/>
    </row>
    <row r="849">
      <c r="A849" s="45"/>
    </row>
    <row r="850">
      <c r="A850" s="45"/>
    </row>
    <row r="851">
      <c r="A851" s="45"/>
    </row>
    <row r="852">
      <c r="A852" s="45"/>
    </row>
    <row r="853">
      <c r="A853" s="45"/>
    </row>
    <row r="854">
      <c r="A854" s="45"/>
    </row>
    <row r="855">
      <c r="A855" s="45"/>
    </row>
    <row r="856">
      <c r="A856" s="45"/>
    </row>
    <row r="857">
      <c r="A857" s="45"/>
    </row>
    <row r="858">
      <c r="A858" s="45"/>
    </row>
    <row r="859">
      <c r="A859" s="45"/>
    </row>
    <row r="860">
      <c r="A860" s="45"/>
    </row>
    <row r="861">
      <c r="A861" s="45"/>
    </row>
    <row r="862">
      <c r="A862" s="45"/>
    </row>
    <row r="863">
      <c r="A863" s="45"/>
    </row>
    <row r="864">
      <c r="A864" s="45"/>
    </row>
    <row r="865">
      <c r="A865" s="45"/>
    </row>
    <row r="866">
      <c r="A866" s="45"/>
    </row>
    <row r="867">
      <c r="A867" s="45"/>
    </row>
    <row r="868">
      <c r="A868" s="45"/>
    </row>
    <row r="869">
      <c r="A869" s="45"/>
    </row>
    <row r="870">
      <c r="A870" s="45"/>
    </row>
    <row r="871">
      <c r="A871" s="45"/>
    </row>
    <row r="872">
      <c r="A872" s="45"/>
    </row>
    <row r="873">
      <c r="A873" s="45"/>
    </row>
    <row r="874">
      <c r="A874" s="45"/>
    </row>
    <row r="875">
      <c r="A875" s="45"/>
    </row>
    <row r="876">
      <c r="A876" s="45"/>
    </row>
    <row r="877">
      <c r="A877" s="45"/>
    </row>
    <row r="878">
      <c r="A878" s="45"/>
    </row>
    <row r="879">
      <c r="A879" s="45"/>
    </row>
    <row r="880">
      <c r="A880" s="45"/>
    </row>
    <row r="881">
      <c r="A881" s="45"/>
    </row>
    <row r="882">
      <c r="A882" s="45"/>
    </row>
    <row r="883">
      <c r="A883" s="45"/>
    </row>
    <row r="884">
      <c r="A884" s="45"/>
    </row>
    <row r="885">
      <c r="A885" s="45"/>
    </row>
    <row r="886">
      <c r="A886" s="45"/>
    </row>
    <row r="887">
      <c r="A887" s="45"/>
    </row>
    <row r="888">
      <c r="A888" s="45"/>
    </row>
    <row r="889">
      <c r="A889" s="45"/>
    </row>
    <row r="890">
      <c r="A890" s="45"/>
    </row>
    <row r="891">
      <c r="A891" s="45"/>
    </row>
    <row r="892">
      <c r="A892" s="45"/>
    </row>
    <row r="893">
      <c r="A893" s="45"/>
    </row>
    <row r="894">
      <c r="A894" s="45"/>
    </row>
    <row r="895">
      <c r="A895" s="45"/>
    </row>
    <row r="896">
      <c r="A896" s="45"/>
    </row>
    <row r="897">
      <c r="A897" s="45"/>
    </row>
    <row r="898">
      <c r="A898" s="45"/>
    </row>
    <row r="899">
      <c r="A899" s="45"/>
    </row>
    <row r="900">
      <c r="A900" s="45"/>
    </row>
    <row r="901">
      <c r="A901" s="45"/>
    </row>
    <row r="902">
      <c r="A902" s="45"/>
    </row>
    <row r="903">
      <c r="A903" s="45"/>
    </row>
    <row r="904">
      <c r="A904" s="45"/>
    </row>
    <row r="905">
      <c r="A905" s="45"/>
    </row>
    <row r="906">
      <c r="A906" s="45"/>
    </row>
    <row r="907">
      <c r="A907" s="45"/>
    </row>
    <row r="908">
      <c r="A908" s="45"/>
    </row>
    <row r="909">
      <c r="A909" s="45"/>
    </row>
    <row r="910">
      <c r="A910" s="45"/>
    </row>
    <row r="911">
      <c r="A911" s="45"/>
    </row>
    <row r="912">
      <c r="A912" s="45"/>
    </row>
    <row r="913">
      <c r="A913" s="45"/>
    </row>
    <row r="914">
      <c r="A914" s="45"/>
    </row>
    <row r="915">
      <c r="A915" s="45"/>
    </row>
    <row r="916">
      <c r="A916" s="45"/>
    </row>
    <row r="917">
      <c r="A917" s="45"/>
    </row>
    <row r="918">
      <c r="A918" s="45"/>
    </row>
    <row r="919">
      <c r="A919" s="45"/>
    </row>
    <row r="920">
      <c r="A920" s="45"/>
    </row>
    <row r="921">
      <c r="A921" s="45"/>
    </row>
    <row r="922">
      <c r="A922" s="45"/>
    </row>
    <row r="923">
      <c r="A923" s="45"/>
    </row>
    <row r="924">
      <c r="A924" s="45"/>
    </row>
    <row r="925">
      <c r="A925" s="45"/>
    </row>
    <row r="926">
      <c r="A926" s="45"/>
    </row>
    <row r="927">
      <c r="A927" s="45"/>
    </row>
    <row r="928">
      <c r="A928" s="45"/>
    </row>
    <row r="929">
      <c r="A929" s="45"/>
    </row>
    <row r="930">
      <c r="A930" s="45"/>
    </row>
    <row r="931">
      <c r="A931" s="45"/>
    </row>
    <row r="932">
      <c r="A932" s="45"/>
    </row>
    <row r="933">
      <c r="A933" s="45"/>
    </row>
    <row r="934">
      <c r="A934" s="45"/>
    </row>
    <row r="935">
      <c r="A935" s="45"/>
    </row>
    <row r="936">
      <c r="A936" s="45"/>
    </row>
    <row r="937">
      <c r="A937" s="45"/>
    </row>
    <row r="938">
      <c r="A938" s="45"/>
    </row>
    <row r="939">
      <c r="A939" s="45"/>
    </row>
    <row r="940">
      <c r="A940" s="45"/>
    </row>
    <row r="941">
      <c r="A941" s="45"/>
    </row>
    <row r="942">
      <c r="A942" s="45"/>
    </row>
    <row r="943">
      <c r="A943" s="45"/>
    </row>
    <row r="944">
      <c r="A944" s="45"/>
    </row>
    <row r="945">
      <c r="A945" s="45"/>
    </row>
    <row r="946">
      <c r="A946" s="45"/>
    </row>
    <row r="947">
      <c r="A947" s="45"/>
    </row>
    <row r="948">
      <c r="A948" s="45"/>
    </row>
    <row r="949">
      <c r="A949" s="45"/>
    </row>
    <row r="950">
      <c r="A950" s="45"/>
    </row>
    <row r="951">
      <c r="A951" s="45"/>
    </row>
    <row r="952">
      <c r="A952" s="45"/>
    </row>
    <row r="953">
      <c r="A953" s="45"/>
    </row>
    <row r="954">
      <c r="A954" s="45"/>
    </row>
    <row r="955">
      <c r="A955" s="45"/>
    </row>
    <row r="956">
      <c r="A956" s="45"/>
    </row>
    <row r="957">
      <c r="A957" s="45"/>
    </row>
    <row r="958">
      <c r="A958" s="45"/>
    </row>
    <row r="959">
      <c r="A959" s="45"/>
    </row>
    <row r="960">
      <c r="A960" s="45"/>
    </row>
    <row r="961">
      <c r="A961" s="45"/>
    </row>
    <row r="962">
      <c r="A962" s="45"/>
    </row>
    <row r="963">
      <c r="A963" s="45"/>
    </row>
    <row r="964">
      <c r="A964" s="45"/>
    </row>
    <row r="965">
      <c r="A965" s="45"/>
    </row>
    <row r="966">
      <c r="A966" s="45"/>
    </row>
    <row r="967">
      <c r="A967" s="45"/>
    </row>
    <row r="968">
      <c r="A968" s="45"/>
    </row>
    <row r="969">
      <c r="A969" s="45"/>
    </row>
    <row r="970">
      <c r="A970" s="45"/>
    </row>
    <row r="971">
      <c r="A971" s="45"/>
    </row>
    <row r="972">
      <c r="A972" s="45"/>
    </row>
    <row r="973">
      <c r="A973" s="45"/>
    </row>
    <row r="974">
      <c r="A974" s="45"/>
    </row>
    <row r="975">
      <c r="A975" s="45"/>
    </row>
    <row r="976">
      <c r="A976" s="45"/>
    </row>
    <row r="977">
      <c r="A977" s="45"/>
    </row>
    <row r="978">
      <c r="A978" s="45"/>
    </row>
    <row r="979">
      <c r="A979" s="45"/>
    </row>
    <row r="980">
      <c r="A980" s="45"/>
    </row>
    <row r="981">
      <c r="A981" s="45"/>
    </row>
    <row r="982">
      <c r="A982" s="45"/>
    </row>
    <row r="983">
      <c r="A983" s="45"/>
    </row>
    <row r="984">
      <c r="A984" s="45"/>
    </row>
    <row r="985">
      <c r="A985" s="45"/>
    </row>
    <row r="986">
      <c r="A986" s="45"/>
    </row>
    <row r="987">
      <c r="A987" s="45"/>
    </row>
    <row r="988">
      <c r="A988" s="45"/>
    </row>
    <row r="989">
      <c r="A989" s="45"/>
    </row>
    <row r="990">
      <c r="A990" s="45"/>
    </row>
    <row r="991">
      <c r="A991" s="45"/>
    </row>
    <row r="992">
      <c r="A992" s="45"/>
    </row>
    <row r="993">
      <c r="A993" s="45"/>
    </row>
    <row r="994">
      <c r="A994" s="45"/>
    </row>
    <row r="995">
      <c r="A995" s="45"/>
    </row>
    <row r="996">
      <c r="A996" s="45"/>
    </row>
    <row r="997">
      <c r="A997" s="45"/>
    </row>
    <row r="998">
      <c r="A998" s="45"/>
    </row>
    <row r="999">
      <c r="A999" s="45"/>
    </row>
    <row r="1000">
      <c r="A1000" s="45"/>
    </row>
    <row r="1001">
      <c r="A1001" s="45"/>
    </row>
    <row r="1002">
      <c r="A1002" s="45"/>
    </row>
    <row r="1003">
      <c r="A1003" s="45"/>
    </row>
    <row r="1004">
      <c r="A1004" s="45"/>
    </row>
    <row r="1005">
      <c r="A1005" s="45"/>
    </row>
    <row r="1006">
      <c r="A1006" s="45"/>
    </row>
  </sheetData>
  <mergeCells count="2">
    <mergeCell ref="P1:Q1"/>
    <mergeCell ref="M6:M10"/>
  </mergeCells>
  <conditionalFormatting sqref="G1 K1 Q2">
    <cfRule type="expression" dxfId="1" priority="1">
      <formula>unique</formula>
    </cfRule>
  </conditionalFormatting>
  <drawing r:id="rId2"/>
  <extLst>
    <ext uri="{3A4CF648-6AED-40f4-86FF-DC5316D8AED3}">
      <x14:slicerList>
        <x14:slicer r:id="rId3"/>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6" width="9.63"/>
  </cols>
  <sheetData>
    <row r="1">
      <c r="A1" s="65"/>
    </row>
    <row r="2"/>
    <row r="3"/>
    <row r="4"/>
    <row r="5"/>
    <row r="6"/>
    <row r="7"/>
    <row r="8"/>
    <row r="24">
      <c r="A24" s="67"/>
      <c r="B24" s="68"/>
    </row>
    <row r="43">
      <c r="A43" s="67"/>
      <c r="B43" s="68"/>
    </row>
    <row r="47">
      <c r="K47" s="66"/>
    </row>
    <row r="48">
      <c r="K48" s="66"/>
    </row>
    <row r="49">
      <c r="K49" s="66"/>
    </row>
    <row r="50">
      <c r="K50" s="66"/>
    </row>
    <row r="51">
      <c r="K51" s="66"/>
    </row>
    <row r="52">
      <c r="K52" s="66"/>
    </row>
    <row r="53">
      <c r="K53" s="66"/>
    </row>
    <row r="54">
      <c r="K54" s="66"/>
    </row>
    <row r="55">
      <c r="K55" s="66"/>
    </row>
    <row r="56">
      <c r="K56" s="66"/>
    </row>
    <row r="57">
      <c r="K57" s="66"/>
    </row>
    <row r="58">
      <c r="K58" s="66"/>
    </row>
    <row r="59">
      <c r="K59" s="66"/>
    </row>
    <row r="60">
      <c r="K60" s="66"/>
    </row>
    <row r="61">
      <c r="K61" s="66"/>
    </row>
    <row r="62">
      <c r="K62" s="66"/>
    </row>
    <row r="63">
      <c r="K63" s="66"/>
    </row>
    <row r="64">
      <c r="K64" s="66"/>
    </row>
    <row r="65">
      <c r="K65" s="66"/>
    </row>
    <row r="66">
      <c r="K66" s="66"/>
    </row>
    <row r="67">
      <c r="K67" s="66"/>
    </row>
    <row r="68">
      <c r="K68" s="66"/>
    </row>
    <row r="69">
      <c r="K69" s="66"/>
    </row>
    <row r="70">
      <c r="K70" s="66"/>
    </row>
    <row r="71">
      <c r="K71" s="66"/>
    </row>
    <row r="72">
      <c r="K72" s="66"/>
    </row>
    <row r="73">
      <c r="K73" s="66"/>
    </row>
    <row r="74">
      <c r="K74" s="66"/>
    </row>
    <row r="75">
      <c r="K75" s="66"/>
    </row>
    <row r="76">
      <c r="K76" s="66"/>
    </row>
    <row r="77">
      <c r="K77" s="66"/>
    </row>
    <row r="78">
      <c r="K78" s="66"/>
    </row>
    <row r="79">
      <c r="K79" s="66"/>
    </row>
    <row r="80">
      <c r="K80" s="66"/>
    </row>
    <row r="81">
      <c r="K81" s="66"/>
    </row>
    <row r="82">
      <c r="K82" s="66"/>
    </row>
    <row r="83">
      <c r="K83" s="66"/>
    </row>
    <row r="84">
      <c r="K84" s="66"/>
    </row>
    <row r="85">
      <c r="K85" s="66"/>
    </row>
    <row r="86">
      <c r="K86" s="66"/>
    </row>
    <row r="87">
      <c r="K87" s="66"/>
    </row>
    <row r="88">
      <c r="K88" s="66"/>
    </row>
    <row r="89">
      <c r="K89" s="66"/>
    </row>
    <row r="90">
      <c r="K90" s="66"/>
    </row>
    <row r="91">
      <c r="K91" s="66"/>
    </row>
    <row r="92">
      <c r="K92" s="66"/>
    </row>
    <row r="93">
      <c r="K93" s="66"/>
    </row>
    <row r="94">
      <c r="K94" s="66"/>
    </row>
    <row r="95">
      <c r="K95" s="66"/>
    </row>
    <row r="96">
      <c r="K96" s="66"/>
    </row>
    <row r="97">
      <c r="K97" s="66"/>
    </row>
    <row r="98">
      <c r="K98" s="66"/>
    </row>
    <row r="99">
      <c r="K99" s="66"/>
    </row>
    <row r="100">
      <c r="K100" s="66"/>
    </row>
    <row r="101">
      <c r="K101" s="66"/>
    </row>
    <row r="102">
      <c r="K102" s="66"/>
    </row>
    <row r="103">
      <c r="K103" s="66"/>
    </row>
    <row r="104">
      <c r="K104" s="66"/>
    </row>
    <row r="105">
      <c r="K105" s="66"/>
    </row>
    <row r="106">
      <c r="K106" s="66"/>
    </row>
    <row r="107">
      <c r="K107" s="66"/>
    </row>
    <row r="108">
      <c r="K108" s="66"/>
    </row>
    <row r="109">
      <c r="K109" s="66"/>
    </row>
    <row r="110">
      <c r="K110" s="66"/>
    </row>
    <row r="111">
      <c r="K111" s="66"/>
    </row>
    <row r="112">
      <c r="K112" s="66"/>
    </row>
    <row r="113">
      <c r="K113" s="66"/>
    </row>
    <row r="114">
      <c r="K114" s="66"/>
    </row>
    <row r="115">
      <c r="K115" s="66"/>
    </row>
    <row r="116">
      <c r="K116" s="66"/>
    </row>
    <row r="117">
      <c r="K117" s="66"/>
    </row>
    <row r="118">
      <c r="K118" s="66"/>
    </row>
    <row r="119">
      <c r="K119" s="66"/>
    </row>
    <row r="120">
      <c r="K120" s="66"/>
    </row>
    <row r="121">
      <c r="K121" s="66"/>
    </row>
    <row r="122">
      <c r="K122" s="66"/>
    </row>
    <row r="123">
      <c r="K123" s="66"/>
    </row>
    <row r="124">
      <c r="K124" s="66"/>
    </row>
    <row r="125">
      <c r="K125" s="66"/>
    </row>
    <row r="126">
      <c r="K126" s="66"/>
    </row>
    <row r="127">
      <c r="K127" s="66"/>
    </row>
    <row r="128">
      <c r="K128" s="66"/>
    </row>
    <row r="129">
      <c r="K129" s="66"/>
    </row>
    <row r="130">
      <c r="K130" s="66"/>
    </row>
    <row r="131">
      <c r="K131" s="66"/>
    </row>
    <row r="132">
      <c r="K132" s="66"/>
    </row>
    <row r="133">
      <c r="K133" s="66"/>
    </row>
    <row r="134">
      <c r="K134" s="66"/>
    </row>
    <row r="135">
      <c r="K135" s="66"/>
    </row>
    <row r="136">
      <c r="K136" s="66"/>
    </row>
    <row r="137">
      <c r="K137" s="66"/>
    </row>
    <row r="138">
      <c r="K138" s="66"/>
    </row>
    <row r="139">
      <c r="K139" s="66"/>
    </row>
    <row r="140">
      <c r="K140" s="66"/>
    </row>
    <row r="141">
      <c r="K141" s="66"/>
    </row>
    <row r="142">
      <c r="K142" s="66"/>
    </row>
    <row r="143">
      <c r="K143" s="66"/>
    </row>
    <row r="144">
      <c r="K144" s="66"/>
    </row>
    <row r="145">
      <c r="K145" s="66"/>
    </row>
    <row r="146">
      <c r="K146" s="66"/>
    </row>
    <row r="147">
      <c r="K147" s="66"/>
    </row>
    <row r="148">
      <c r="K148" s="66"/>
    </row>
    <row r="149">
      <c r="K149" s="66"/>
    </row>
    <row r="150">
      <c r="K150" s="66"/>
    </row>
    <row r="151">
      <c r="K151" s="66"/>
    </row>
    <row r="152">
      <c r="K152" s="66"/>
    </row>
    <row r="153">
      <c r="K153" s="66"/>
    </row>
    <row r="154">
      <c r="K154" s="66"/>
    </row>
    <row r="155">
      <c r="K155" s="66"/>
    </row>
    <row r="156">
      <c r="K156" s="66"/>
    </row>
    <row r="157">
      <c r="K157" s="66"/>
    </row>
    <row r="158">
      <c r="K158" s="66"/>
    </row>
    <row r="159">
      <c r="K159" s="66"/>
    </row>
    <row r="160">
      <c r="K160" s="66"/>
    </row>
    <row r="161">
      <c r="K161" s="66"/>
    </row>
    <row r="162">
      <c r="K162" s="66"/>
    </row>
    <row r="163">
      <c r="K163" s="66"/>
    </row>
    <row r="164">
      <c r="K164" s="66"/>
    </row>
    <row r="165">
      <c r="K165" s="66"/>
    </row>
    <row r="166">
      <c r="K166" s="66"/>
    </row>
    <row r="167">
      <c r="K167" s="66"/>
    </row>
    <row r="168">
      <c r="K168" s="66"/>
    </row>
    <row r="169">
      <c r="K169" s="66"/>
    </row>
    <row r="170">
      <c r="K170" s="66"/>
    </row>
    <row r="171">
      <c r="K171" s="66"/>
    </row>
    <row r="172">
      <c r="K172" s="66"/>
    </row>
    <row r="173">
      <c r="K173" s="66"/>
    </row>
    <row r="174">
      <c r="K174" s="66"/>
    </row>
    <row r="175">
      <c r="K175" s="66"/>
    </row>
    <row r="176">
      <c r="K176" s="66"/>
    </row>
    <row r="177">
      <c r="K177" s="66"/>
    </row>
    <row r="178">
      <c r="K178" s="66"/>
    </row>
    <row r="179">
      <c r="K179" s="66"/>
    </row>
    <row r="180">
      <c r="K180" s="66"/>
    </row>
    <row r="181">
      <c r="K181" s="66"/>
    </row>
    <row r="182">
      <c r="K182" s="66"/>
    </row>
    <row r="183">
      <c r="K183" s="66"/>
    </row>
    <row r="184">
      <c r="K184" s="66"/>
    </row>
    <row r="185">
      <c r="K185" s="66"/>
    </row>
    <row r="186">
      <c r="K186" s="66"/>
    </row>
    <row r="187">
      <c r="K187" s="66"/>
    </row>
    <row r="188">
      <c r="K188" s="66"/>
    </row>
    <row r="189">
      <c r="K189" s="66"/>
    </row>
    <row r="190">
      <c r="K190" s="66"/>
    </row>
    <row r="191">
      <c r="K191" s="66"/>
    </row>
    <row r="192">
      <c r="K192" s="66"/>
    </row>
    <row r="193">
      <c r="K193" s="66"/>
    </row>
    <row r="194">
      <c r="K194" s="66"/>
    </row>
    <row r="195">
      <c r="K195" s="66"/>
    </row>
    <row r="196">
      <c r="K196" s="66"/>
    </row>
    <row r="197">
      <c r="K197" s="66"/>
    </row>
    <row r="198">
      <c r="K198" s="66"/>
    </row>
    <row r="199">
      <c r="K199" s="66"/>
    </row>
    <row r="200">
      <c r="K200" s="66"/>
    </row>
    <row r="201">
      <c r="K201" s="66"/>
    </row>
    <row r="202">
      <c r="K202" s="66"/>
    </row>
    <row r="203">
      <c r="K203" s="66"/>
    </row>
    <row r="204">
      <c r="K204" s="66"/>
    </row>
    <row r="205">
      <c r="K205" s="66"/>
    </row>
    <row r="206">
      <c r="K206" s="66"/>
    </row>
    <row r="207">
      <c r="K207" s="66"/>
    </row>
  </sheetData>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18.13"/>
    <col customWidth="1" min="3" max="3" width="4.25"/>
    <col customWidth="1" min="4" max="4" width="18.13"/>
    <col customWidth="1" min="5" max="5" width="4.25"/>
    <col customWidth="1" min="6" max="6" width="18.13"/>
    <col customWidth="1" min="7" max="7" width="4.25"/>
    <col customWidth="1" min="9" max="9" width="4.25"/>
    <col customWidth="1" min="10" max="10" width="18.38"/>
    <col customWidth="1" min="11" max="11" width="4.25"/>
    <col customWidth="1" min="12" max="12" width="18.38"/>
    <col customWidth="1" min="13" max="13" width="4.25"/>
    <col customWidth="1" min="14" max="14" width="18.38"/>
    <col customWidth="1" min="15" max="15" width="4.25"/>
    <col customWidth="1" min="24" max="24" width="14.63"/>
    <col customWidth="1" min="28" max="28" width="14.63"/>
  </cols>
  <sheetData>
    <row r="1" ht="21.75" customHeight="1">
      <c r="B1" s="69" t="s">
        <v>253</v>
      </c>
      <c r="C1" s="70"/>
      <c r="D1" s="70"/>
      <c r="E1" s="70"/>
      <c r="F1" s="71"/>
      <c r="J1" s="72" t="s">
        <v>254</v>
      </c>
      <c r="K1" s="70"/>
      <c r="L1" s="70"/>
      <c r="M1" s="70"/>
      <c r="N1" s="71"/>
    </row>
    <row r="2" ht="30.0" customHeight="1">
      <c r="B2" s="73" t="s">
        <v>255</v>
      </c>
      <c r="D2" s="73" t="s">
        <v>256</v>
      </c>
      <c r="F2" s="73" t="s">
        <v>236</v>
      </c>
      <c r="J2" s="74" t="s">
        <v>255</v>
      </c>
      <c r="L2" s="74" t="s">
        <v>256</v>
      </c>
      <c r="N2" s="74" t="s">
        <v>236</v>
      </c>
    </row>
    <row r="3" ht="74.25" customHeight="1">
      <c r="B3" s="75">
        <f>COUNTIFS(Staff[Country],"IND")</f>
        <v>93</v>
      </c>
      <c r="D3" s="76">
        <f>(COUNTIFS(Staff[Country],"IND",Staff[Gender],"Female"))/B3</f>
        <v>0.4731182796</v>
      </c>
      <c r="F3" s="77">
        <f>AVERAGEIFS(Staff[Salary],Staff[Country],"IND")</f>
        <v>76899.35484</v>
      </c>
      <c r="J3" s="78">
        <f>COUNTIFS(Staff[Country],"NZ")</f>
        <v>91</v>
      </c>
      <c r="L3" s="79">
        <f>(COUNTIFS(Staff[Country],"NZ",Staff[Gender],"Female"))/J3</f>
        <v>0.4615384615</v>
      </c>
      <c r="N3" s="80">
        <f>AVERAGEIFS(Staff[Salary],Staff[Country],"NZ")</f>
        <v>77843.95604</v>
      </c>
    </row>
    <row r="4"/>
    <row r="5">
      <c r="B5" s="81" t="s">
        <v>257</v>
      </c>
    </row>
    <row r="6"/>
    <row r="7"/>
    <row r="8"/>
    <row r="9"/>
  </sheetData>
  <mergeCells count="3">
    <mergeCell ref="B1:F1"/>
    <mergeCell ref="J1:N1"/>
    <mergeCell ref="B5:N5"/>
  </mergeCells>
  <drawing r:id="rId3"/>
</worksheet>
</file>